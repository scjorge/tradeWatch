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CRIPTOMOEDAS" sheetId="1" r:id="rId1"/>
  </sheets>
  <definedNames>
    <definedName name="_xlnm._FilterDatabase" localSheetId="0" hidden="1">CRIPTOMOEDAS!$A$42:$W$173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<sst xmlns="http://schemas.openxmlformats.org/spreadsheetml/2006/main" count="31" uniqueCount="30">
  <si>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Data</t>
  </si>
  <si>
    <t>Valor</t>
  </si>
  <si>
    <t>1º dia do mês</t>
  </si>
  <si>
    <t>Valor Dólar</t>
  </si>
  <si>
    <t>Saldo BRL</t>
  </si>
  <si>
    <t>Saldo USDT</t>
  </si>
  <si>
    <t>Início do Mes</t>
  </si>
  <si>
    <t>Valor Atual</t>
  </si>
  <si>
    <t>Diferença</t>
  </si>
  <si>
    <t>Status</t>
  </si>
  <si>
    <t>Criptomoeda</t>
  </si>
  <si>
    <t>Moeda</t>
  </si>
  <si>
    <t>Data Compra</t>
  </si>
  <si>
    <t>Quant. a Comprar</t>
  </si>
  <si>
    <t>Valor Unitário Compra</t>
  </si>
  <si>
    <t>Taxa Transação</t>
  </si>
  <si>
    <t>Valor Unitário Compra BRL</t>
  </si>
  <si>
    <t>Valor Total da Compra</t>
  </si>
  <si>
    <t>Valor Compra BRL</t>
  </si>
  <si>
    <t>Data Venda</t>
  </si>
  <si>
    <t>Quant. a Vender</t>
  </si>
  <si>
    <t>Valor Unitário Venda</t>
  </si>
  <si>
    <t>Valor Unitário Venda BRL</t>
  </si>
  <si>
    <t>Valor Total a Venda</t>
  </si>
  <si>
    <t>Valor Venda BRL</t>
  </si>
  <si>
    <t>Lucro / Prejuízo</t>
  </si>
  <si>
    <t>% Lucro / Prejuízo</t>
  </si>
  <si>
    <t>Concluído</t>
  </si>
  <si>
    <t>STRK</t>
  </si>
  <si>
    <t>USDT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</si>
</sst>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;@"/>
    <numFmt numFmtId="181" formatCode="_-[$R$-416]\ * #,##0.00_-;\-[$R$-416]\ * #,##0.00_-;_-[$R$-416]\ * &quot;-&quot;??_-;_-@_-"/>
    <numFmt numFmtId="182" formatCode="_-&quot;R$&quot;\ * #,##0.0000_-;\-&quot;R$&quot;\ * #,##0.0000_-;_-&quot;R$&quot;\ * &quot;-&quot;??_-;_-@_-"/>
    <numFmt numFmtId="183" formatCode="0.0000"/>
    <numFmt numFmtId="184" formatCode="#,##0.0000;\-#,##0.0000"/>
    <numFmt numFmtId="185" formatCode="_-&quot;R$&quot;\ * #,##0.0000_-;\-&quot;R$&quot;\ * #,##0.0000_-;_-&quot;R$&quot;\ * &quot;-&quot;????_-;_-@_-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58" fontId="2" fillId="3" borderId="1" xfId="2" applyNumberFormat="1" applyFont="1" applyFill="1" applyBorder="1" applyAlignment="1">
      <alignment horizontal="center" vertical="center" wrapText="1"/>
    </xf>
    <xf numFmtId="182" fontId="2" fillId="3" borderId="1" xfId="2" applyNumberFormat="1" applyFont="1" applyFill="1" applyBorder="1" applyAlignment="1">
      <alignment horizontal="center" vertical="top" wrapText="1"/>
    </xf>
    <xf numFmtId="177" fontId="2" fillId="3" borderId="1" xfId="2" applyFont="1" applyFill="1" applyBorder="1" applyAlignment="1">
      <alignment horizontal="center" vertical="center" wrapText="1"/>
    </xf>
    <xf numFmtId="10" fontId="2" fillId="3" borderId="1" xfId="3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top" wrapText="1"/>
    </xf>
    <xf numFmtId="180" fontId="0" fillId="0" borderId="0" xfId="0" applyNumberFormat="1" applyAlignment="1">
      <alignment horizontal="center" vertical="top"/>
    </xf>
    <xf numFmtId="0" fontId="2" fillId="4" borderId="1" xfId="0" applyFont="1" applyFill="1" applyBorder="1" applyAlignment="1">
      <alignment horizontal="center" vertical="center" wrapText="1"/>
    </xf>
    <xf numFmtId="180" fontId="2" fillId="4" borderId="1" xfId="0" applyNumberFormat="1" applyFont="1" applyFill="1" applyBorder="1" applyAlignment="1">
      <alignment horizontal="center" vertical="center" wrapText="1"/>
    </xf>
    <xf numFmtId="182" fontId="2" fillId="4" borderId="1" xfId="0" applyNumberFormat="1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vertical="center" wrapText="1"/>
    </xf>
    <xf numFmtId="10" fontId="2" fillId="4" borderId="1" xfId="3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180" fontId="0" fillId="5" borderId="1" xfId="0" applyNumberFormat="1" applyFill="1" applyBorder="1" applyAlignment="1">
      <alignment horizontal="center" vertical="center"/>
    </xf>
    <xf numFmtId="183" fontId="0" fillId="5" borderId="1" xfId="0" applyNumberFormat="1" applyFill="1" applyBorder="1" applyAlignment="1">
      <alignment horizontal="center"/>
    </xf>
    <xf numFmtId="184" fontId="2" fillId="5" borderId="1" xfId="2" applyNumberFormat="1" applyFont="1" applyFill="1" applyBorder="1" applyAlignment="1">
      <alignment horizontal="center"/>
    </xf>
    <xf numFmtId="184" fontId="0" fillId="0" borderId="1" xfId="2" applyNumberFormat="1" applyFont="1" applyFill="1" applyBorder="1" applyAlignment="1">
      <alignment horizontal="center"/>
    </xf>
    <xf numFmtId="184" fontId="0" fillId="0" borderId="1" xfId="2" applyNumberFormat="1" applyFont="1" applyFill="1" applyBorder="1"/>
    <xf numFmtId="184" fontId="2" fillId="0" borderId="1" xfId="2" applyNumberFormat="1" applyFont="1" applyFill="1" applyBorder="1" applyAlignment="1">
      <alignment horizontal="center"/>
    </xf>
    <xf numFmtId="177" fontId="2" fillId="0" borderId="1" xfId="2" applyFont="1" applyFill="1" applyBorder="1"/>
    <xf numFmtId="10" fontId="0" fillId="0" borderId="1" xfId="3" applyNumberFormat="1" applyFont="1" applyFill="1" applyBorder="1" applyAlignment="1">
      <alignment horizontal="center"/>
    </xf>
    <xf numFmtId="177" fontId="0" fillId="0" borderId="0" xfId="0" applyNumberFormat="1"/>
    <xf numFmtId="185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8">
    <dxf>
      <fill>
        <patternFill patternType="solid">
          <bgColor theme="3" tint="0.599963377788629"/>
        </patternFill>
      </fill>
    </dxf>
    <dxf>
      <fill>
        <patternFill patternType="solid">
          <bgColor theme="6" tint="0.59996337778862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5" tint="0.59996337778862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4" tint="0.399945066682943"/>
        </patternFill>
      </fill>
    </dxf>
    <dxf>
      <fill>
        <patternFill patternType="solid">
          <bgColor theme="9" tint="0.5999633777886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17432802924304"/>
          <c:y val="0.280131639813103"/>
          <c:w val="0.977717354312997"/>
          <c:h val="0.462161116341916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6">
                <a:lumMod val="60000"/>
                <a:lumOff val="40000"/>
              </a:schemeClr>
            </a:solidFill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numFmt formatCode="#,##0.00;[Red]#,##0.00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CRIPTOMOEDAS!$A$2:$A$32</c:f>
              <c:numCache>
                <c:formatCode>dd/mmm</c:formatCode>
                <c:ptCount val="31"/>
                <c:pt idx="0" c:formatCode="dd/mmm">
                  <c:v>46296</c:v>
                </c:pt>
                <c:pt idx="1" c:formatCode="dd/mmm">
                  <c:v>46297</c:v>
                </c:pt>
                <c:pt idx="2" c:formatCode="dd/mmm">
                  <c:v>46298</c:v>
                </c:pt>
                <c:pt idx="3" c:formatCode="dd/mmm">
                  <c:v>46299</c:v>
                </c:pt>
                <c:pt idx="4" c:formatCode="dd/mmm">
                  <c:v>46300</c:v>
                </c:pt>
                <c:pt idx="5" c:formatCode="dd/mmm">
                  <c:v>46301</c:v>
                </c:pt>
                <c:pt idx="6" c:formatCode="dd/mmm">
                  <c:v>46302</c:v>
                </c:pt>
                <c:pt idx="7" c:formatCode="dd/mmm">
                  <c:v>46303</c:v>
                </c:pt>
                <c:pt idx="8" c:formatCode="dd/mmm">
                  <c:v>46304</c:v>
                </c:pt>
                <c:pt idx="9" c:formatCode="dd/mmm">
                  <c:v>46305</c:v>
                </c:pt>
                <c:pt idx="10" c:formatCode="dd/mmm">
                  <c:v>46306</c:v>
                </c:pt>
                <c:pt idx="11" c:formatCode="dd/mmm">
                  <c:v>46307</c:v>
                </c:pt>
                <c:pt idx="12" c:formatCode="dd/mmm">
                  <c:v>46308</c:v>
                </c:pt>
                <c:pt idx="13" c:formatCode="dd/mmm">
                  <c:v>46309</c:v>
                </c:pt>
                <c:pt idx="14" c:formatCode="dd/mmm">
                  <c:v>46310</c:v>
                </c:pt>
                <c:pt idx="15" c:formatCode="dd/mmm">
                  <c:v>46311</c:v>
                </c:pt>
                <c:pt idx="16" c:formatCode="dd/mmm">
                  <c:v>46312</c:v>
                </c:pt>
                <c:pt idx="17" c:formatCode="dd/mmm">
                  <c:v>46313</c:v>
                </c:pt>
                <c:pt idx="18" c:formatCode="dd/mmm">
                  <c:v>46314</c:v>
                </c:pt>
                <c:pt idx="19" c:formatCode="dd/mmm">
                  <c:v>46315</c:v>
                </c:pt>
                <c:pt idx="20" c:formatCode="dd/mmm">
                  <c:v>46316</c:v>
                </c:pt>
                <c:pt idx="21" c:formatCode="dd/mmm">
                  <c:v>46317</c:v>
                </c:pt>
                <c:pt idx="22" c:formatCode="dd/mmm">
                  <c:v>46318</c:v>
                </c:pt>
                <c:pt idx="23" c:formatCode="dd/mmm">
                  <c:v>46319</c:v>
                </c:pt>
                <c:pt idx="24" c:formatCode="dd/mmm">
                  <c:v>46320</c:v>
                </c:pt>
                <c:pt idx="25" c:formatCode="dd/mmm">
                  <c:v>46321</c:v>
                </c:pt>
                <c:pt idx="26" c:formatCode="dd/mmm">
                  <c:v>46322</c:v>
                </c:pt>
                <c:pt idx="27" c:formatCode="dd/mmm">
                  <c:v>46323</c:v>
                </c:pt>
                <c:pt idx="28" c:formatCode="dd/mmm">
                  <c:v>46324</c:v>
                </c:pt>
                <c:pt idx="29" c:formatCode="dd/mmm">
                  <c:v>46325</c:v>
                </c:pt>
                <c:pt idx="30" c:formatCode="dd/mmm">
                  <c:v>46326</c:v>
                </c:pt>
              </c:numCache>
            </c:numRef>
          </c:cat>
          <c:val>
            <c:numRef>
              <c:f>CRIPTOMOEDAS!$B$2:$B$32</c:f>
              <c:numCache>
                <c:formatCode>_-[$R$-416]\ * #,##0.00_-;\-[$R$-416]\ * #,##0.00_-;_-[$R$-416]\ 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2.333102844954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5256768"/>
        <c:axId val="1325257856"/>
      </c:barChart>
      <c:dateAx>
        <c:axId val="1325256768"/>
        <c:scaling>
          <c:orientation val="minMax"/>
        </c:scaling>
        <c:delete val="0"/>
        <c:axPos val="b"/>
        <c:numFmt formatCode="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5257856"/>
        <c:crosses val="autoZero"/>
        <c:auto val="1"/>
        <c:lblOffset val="100"/>
        <c:baseTimeUnit val="days"/>
      </c:dateAx>
      <c:valAx>
        <c:axId val="13252578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525676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uri="{0b15fc19-7d7d-44ad-8c2d-2c3a37ce22c3}">
        <chartProps xmlns="https://web.wps.cn/et/2018/main" chartId="{4bbe8891-c1f4-48a3-90b6-4a5b26c717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33951</xdr:colOff>
      <xdr:row>32</xdr:row>
      <xdr:rowOff>51883</xdr:rowOff>
    </xdr:from>
    <xdr:to>
      <xdr:col>13</xdr:col>
      <xdr:colOff>67233</xdr:colOff>
      <xdr:row>40</xdr:row>
      <xdr:rowOff>168425</xdr:rowOff>
    </xdr:to>
    <xdr:graphicFrame>
      <xdr:nvGraphicFramePr>
        <xdr:cNvPr id="2" name="Gráfico 1"/>
        <xdr:cNvGraphicFramePr/>
      </xdr:nvGraphicFramePr>
      <xdr:xfrm>
        <a:off x="33655" y="51435"/>
        <a:ext cx="9646285" cy="16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V178"/>
  <sheetViews>
    <sheetView showGridLines="0" tabSelected="1" workbookViewId="0">
      <pane ySplit="43" topLeftCell="A44" activePane="bottomLeft" state="frozen"/>
      <selection/>
      <selection pane="bottomLeft" activeCell="R35" sqref="R35"/>
    </sheetView>
  </sheetViews>
  <sheetFormatPr defaultColWidth="9" defaultRowHeight="15"/>
  <cols>
    <col min="1" max="1" width="15" style="3" customWidth="1"/>
    <col min="2" max="2" width="13.4190476190476" style="3" customWidth="1"/>
    <col min="3" max="3" width="7.83809523809524" style="3" customWidth="1"/>
    <col min="4" max="4" width="12.152380952381" style="4" customWidth="1"/>
    <col min="5" max="5" width="13.2095238095238" style="3" customWidth="1"/>
    <col min="6" max="6" width="15.5809523809524" style="3" customWidth="1"/>
    <col min="7" max="7" width="10.152380952381" style="3" hidden="1" customWidth="1"/>
    <col min="8" max="8" width="14.152380952381" hidden="1" customWidth="1"/>
    <col min="9" max="10" width="14.152380952381" customWidth="1"/>
    <col min="11" max="11" width="11.5809523809524" style="3" customWidth="1"/>
    <col min="12" max="12" width="14.2571428571429" style="3" customWidth="1"/>
    <col min="13" max="13" width="13.8380952380952" customWidth="1"/>
    <col min="14" max="14" width="13.8380952380952" hidden="1" customWidth="1"/>
    <col min="15" max="15" width="15.3142857142857" customWidth="1"/>
    <col min="16" max="16" width="15.047619047619" customWidth="1"/>
    <col min="17" max="17" width="17.8380952380952" customWidth="1"/>
    <col min="18" max="18" width="11.152380952381" customWidth="1"/>
    <col min="19" max="19" width="2.83809523809524" customWidth="1"/>
    <col min="20" max="20" width="13.2571428571429" customWidth="1"/>
    <col min="21" max="22" width="14.4190476190476" customWidth="1"/>
    <col min="23" max="23" width="11.8380952380952" customWidth="1"/>
  </cols>
  <sheetData>
    <row r="1" hidden="1" spans="1:2">
      <c r="A1" s="5" t="s">
        <v>0</v>
      </c>
      <c r="B1" s="5" t="s">
        <v>1</v>
      </c>
    </row>
    <row r="2" hidden="1" spans="1:2">
      <c r="A2" s="6">
        <f>R33</f>
        <v>46296</v>
      </c>
      <c r="B2" s="7">
        <f t="shared" ref="B2:B32" si="0">SUMIF($K$44:$K$173,A2,$Q$44:$Q$173)</f>
        <v>0</v>
      </c>
    </row>
    <row r="3" hidden="1" spans="1:2">
      <c r="A3" s="6">
        <f>A2+1</f>
        <v>46297</v>
      </c>
      <c r="B3" s="7">
        <f t="shared" si="0"/>
        <v>0</v>
      </c>
    </row>
    <row r="4" hidden="1" spans="1:2">
      <c r="A4" s="6">
        <f t="shared" ref="A4:A32" si="1">A3+1</f>
        <v>46298</v>
      </c>
      <c r="B4" s="7">
        <f t="shared" si="0"/>
        <v>0</v>
      </c>
    </row>
    <row r="5" hidden="1" spans="1:2">
      <c r="A5" s="6">
        <f t="shared" si="1"/>
        <v>46299</v>
      </c>
      <c r="B5" s="7">
        <f t="shared" si="0"/>
        <v>0</v>
      </c>
    </row>
    <row r="6" hidden="1" spans="1:2">
      <c r="A6" s="6">
        <f t="shared" si="1"/>
        <v>46300</v>
      </c>
      <c r="B6" s="7">
        <f t="shared" si="0"/>
        <v>0</v>
      </c>
    </row>
    <row r="7" hidden="1" spans="1:2">
      <c r="A7" s="6">
        <f t="shared" si="1"/>
        <v>46301</v>
      </c>
      <c r="B7" s="7">
        <f t="shared" si="0"/>
        <v>0</v>
      </c>
    </row>
    <row r="8" hidden="1" spans="1:2">
      <c r="A8" s="6">
        <f t="shared" si="1"/>
        <v>46302</v>
      </c>
      <c r="B8" s="7">
        <f t="shared" si="0"/>
        <v>0</v>
      </c>
    </row>
    <row r="9" hidden="1" spans="1:2">
      <c r="A9" s="6">
        <f t="shared" si="1"/>
        <v>46303</v>
      </c>
      <c r="B9" s="7">
        <f t="shared" si="0"/>
        <v>0</v>
      </c>
    </row>
    <row r="10" hidden="1" spans="1:2">
      <c r="A10" s="6">
        <f t="shared" si="1"/>
        <v>46304</v>
      </c>
      <c r="B10" s="7">
        <f t="shared" si="0"/>
        <v>0</v>
      </c>
    </row>
    <row r="11" hidden="1" spans="1:2">
      <c r="A11" s="6">
        <f t="shared" si="1"/>
        <v>46305</v>
      </c>
      <c r="B11" s="7">
        <f t="shared" si="0"/>
        <v>0</v>
      </c>
    </row>
    <row r="12" hidden="1" spans="1:2">
      <c r="A12" s="6">
        <f t="shared" si="1"/>
        <v>46306</v>
      </c>
      <c r="B12" s="7">
        <f t="shared" si="0"/>
        <v>0</v>
      </c>
    </row>
    <row r="13" hidden="1" spans="1:2">
      <c r="A13" s="6">
        <f t="shared" si="1"/>
        <v>46307</v>
      </c>
      <c r="B13" s="7">
        <f t="shared" si="0"/>
        <v>0</v>
      </c>
    </row>
    <row r="14" hidden="1" spans="1:2">
      <c r="A14" s="6">
        <f t="shared" si="1"/>
        <v>46308</v>
      </c>
      <c r="B14" s="7">
        <f t="shared" si="0"/>
        <v>0</v>
      </c>
    </row>
    <row r="15" hidden="1" spans="1:2">
      <c r="A15" s="6">
        <f t="shared" si="1"/>
        <v>46309</v>
      </c>
      <c r="B15" s="7">
        <f t="shared" si="0"/>
        <v>0</v>
      </c>
    </row>
    <row r="16" hidden="1" spans="1:2">
      <c r="A16" s="6">
        <f t="shared" si="1"/>
        <v>46310</v>
      </c>
      <c r="B16" s="7">
        <f t="shared" si="0"/>
        <v>2.333102844954</v>
      </c>
    </row>
    <row r="17" hidden="1" spans="1:2">
      <c r="A17" s="6">
        <f t="shared" si="1"/>
        <v>46311</v>
      </c>
      <c r="B17" s="7">
        <f t="shared" si="0"/>
        <v>0</v>
      </c>
    </row>
    <row r="18" hidden="1" spans="1:2">
      <c r="A18" s="6">
        <f t="shared" si="1"/>
        <v>46312</v>
      </c>
      <c r="B18" s="7">
        <f t="shared" si="0"/>
        <v>0</v>
      </c>
    </row>
    <row r="19" hidden="1" spans="1:2">
      <c r="A19" s="6">
        <f t="shared" si="1"/>
        <v>46313</v>
      </c>
      <c r="B19" s="7">
        <f t="shared" si="0"/>
        <v>0</v>
      </c>
    </row>
    <row r="20" hidden="1" spans="1:2">
      <c r="A20" s="6">
        <f t="shared" si="1"/>
        <v>46314</v>
      </c>
      <c r="B20" s="7">
        <f t="shared" si="0"/>
        <v>0</v>
      </c>
    </row>
    <row r="21" hidden="1" spans="1:2">
      <c r="A21" s="6">
        <f t="shared" si="1"/>
        <v>46315</v>
      </c>
      <c r="B21" s="7">
        <f t="shared" si="0"/>
        <v>0</v>
      </c>
    </row>
    <row r="22" hidden="1" spans="1:2">
      <c r="A22" s="6">
        <f t="shared" si="1"/>
        <v>46316</v>
      </c>
      <c r="B22" s="7">
        <f t="shared" si="0"/>
        <v>0</v>
      </c>
    </row>
    <row r="23" hidden="1" spans="1:2">
      <c r="A23" s="6">
        <f t="shared" si="1"/>
        <v>46317</v>
      </c>
      <c r="B23" s="7">
        <f t="shared" si="0"/>
        <v>0</v>
      </c>
    </row>
    <row r="24" hidden="1" spans="1:2">
      <c r="A24" s="6">
        <f t="shared" si="1"/>
        <v>46318</v>
      </c>
      <c r="B24" s="7">
        <f t="shared" si="0"/>
        <v>0</v>
      </c>
    </row>
    <row r="25" hidden="1" spans="1:2">
      <c r="A25" s="6">
        <f t="shared" si="1"/>
        <v>46319</v>
      </c>
      <c r="B25" s="7">
        <f t="shared" si="0"/>
        <v>0</v>
      </c>
    </row>
    <row r="26" hidden="1" spans="1:2">
      <c r="A26" s="6">
        <f t="shared" si="1"/>
        <v>46320</v>
      </c>
      <c r="B26" s="7">
        <f t="shared" si="0"/>
        <v>0</v>
      </c>
    </row>
    <row r="27" hidden="1" spans="1:2">
      <c r="A27" s="6">
        <f t="shared" si="1"/>
        <v>46321</v>
      </c>
      <c r="B27" s="7">
        <f t="shared" si="0"/>
        <v>0</v>
      </c>
    </row>
    <row r="28" hidden="1" spans="1:2">
      <c r="A28" s="6">
        <f t="shared" si="1"/>
        <v>46322</v>
      </c>
      <c r="B28" s="7">
        <f t="shared" si="0"/>
        <v>0</v>
      </c>
    </row>
    <row r="29" hidden="1" spans="1:2">
      <c r="A29" s="6">
        <f t="shared" si="1"/>
        <v>46323</v>
      </c>
      <c r="B29" s="7">
        <f t="shared" si="0"/>
        <v>0</v>
      </c>
    </row>
    <row r="30" hidden="1" spans="1:2">
      <c r="A30" s="6">
        <f t="shared" si="1"/>
        <v>46324</v>
      </c>
      <c r="B30" s="7">
        <f t="shared" si="0"/>
        <v>0</v>
      </c>
    </row>
    <row r="31" hidden="1" spans="1:2">
      <c r="A31" s="6">
        <f t="shared" si="1"/>
        <v>46325</v>
      </c>
      <c r="B31" s="7">
        <f t="shared" si="0"/>
        <v>0</v>
      </c>
    </row>
    <row r="32" hidden="1" spans="1:2">
      <c r="A32" s="6">
        <f t="shared" si="1"/>
        <v>46326</v>
      </c>
      <c r="B32" s="7">
        <f t="shared" si="0"/>
        <v>0</v>
      </c>
    </row>
    <row r="33" spans="1:22">
      <c r="A33" s="6"/>
      <c r="B33" s="7"/>
      <c r="Q33" s="8" t="s">
        <v>2</v>
      </c>
      <c r="R33" s="9">
        <v>46296</v>
      </c>
    </row>
    <row r="34" spans="1:22">
      <c r="Q34" s="8" t="s">
        <v>3</v>
      </c>
      <c r="R34" s="10">
        <v>5.09</v>
      </c>
    </row>
    <row r="35" spans="1:22">
      <c r="Q35" s="5" t="s">
        <v>4</v>
      </c>
      <c r="R35" s="11">
        <v>300</v>
      </c>
    </row>
    <row r="36" spans="1:22">
      <c r="Q36" s="5" t="s">
        <v>5</v>
      </c>
      <c r="R36" s="11">
        <f>R35/R34</f>
        <v>58.9390962671906</v>
      </c>
    </row>
    <row r="37" spans="1:22">
      <c r="Q37" s="5" t="s">
        <v>6</v>
      </c>
      <c r="R37" s="11">
        <v>300</v>
      </c>
    </row>
    <row r="38" spans="1:22">
      <c r="Q38" s="5" t="s">
        <v>7</v>
      </c>
      <c r="R38" s="11">
        <v>302.45</v>
      </c>
    </row>
    <row r="39" spans="1:22">
      <c r="Q39" s="5" t="s">
        <v>8</v>
      </c>
      <c r="R39" s="11">
        <f>R38-R37</f>
        <v>2.44999999999999</v>
      </c>
    </row>
    <row r="40" spans="1:22">
      <c r="Q40" s="5" t="s">
        <v>8</v>
      </c>
      <c r="R40" s="12">
        <f>IF(R37&lt;&gt;0,R39/R37,"")</f>
        <v>0.00816666666666663</v>
      </c>
    </row>
    <row r="42" s="1" customFormat="1" ht="43.15" customHeight="1" spans="1:22">
      <c r="A42" s="8" t="s">
        <v>9</v>
      </c>
      <c r="B42" s="8" t="s">
        <v>10</v>
      </c>
      <c r="C42" s="8" t="s">
        <v>11</v>
      </c>
      <c r="D42" s="13" t="s">
        <v>12</v>
      </c>
      <c r="E42" s="8" t="s">
        <v>13</v>
      </c>
      <c r="F42" s="8" t="s">
        <v>14</v>
      </c>
      <c r="G42" s="8" t="s">
        <v>15</v>
      </c>
      <c r="H42" s="8" t="s">
        <v>16</v>
      </c>
      <c r="I42" s="8" t="s">
        <v>17</v>
      </c>
      <c r="J42" s="8" t="s">
        <v>18</v>
      </c>
      <c r="K42" s="8" t="s">
        <v>19</v>
      </c>
      <c r="L42" s="8" t="s">
        <v>20</v>
      </c>
      <c r="M42" s="8" t="s">
        <v>21</v>
      </c>
      <c r="N42" s="8" t="s">
        <v>22</v>
      </c>
      <c r="O42" s="8" t="s">
        <v>23</v>
      </c>
      <c r="P42" s="8" t="s">
        <v>24</v>
      </c>
      <c r="Q42" s="8" t="s">
        <v>25</v>
      </c>
      <c r="R42" s="8" t="s">
        <v>26</v>
      </c>
      <c r="V42" s="14"/>
    </row>
    <row r="43" s="2" customFormat="1" spans="1:22">
      <c r="A43" s="15"/>
      <c r="B43" s="15"/>
      <c r="C43" s="15"/>
      <c r="D43" s="16"/>
      <c r="E43" s="15"/>
      <c r="F43" s="15"/>
      <c r="G43" s="15"/>
      <c r="H43" s="15"/>
      <c r="I43" s="15"/>
      <c r="J43" s="17"/>
      <c r="K43" s="15"/>
      <c r="L43" s="15"/>
      <c r="M43" s="15"/>
      <c r="N43" s="15"/>
      <c r="O43" s="15"/>
      <c r="P43" s="17"/>
      <c r="Q43" s="18">
        <f>SUMIF(A$44:A$1048576,"Concluído",Q44:Q1048576)</f>
        <v>2.333102844954</v>
      </c>
      <c r="R43" s="19">
        <f>SUM(R44:R173)</f>
        <v>0.0158131412103746</v>
      </c>
      <c r="V43" s="4"/>
    </row>
    <row r="44" spans="1:22">
      <c r="A44" s="20" t="s">
        <v>27</v>
      </c>
      <c r="B44" s="20" t="s">
        <v>28</v>
      </c>
      <c r="C44" s="21" t="s">
        <v>29</v>
      </c>
      <c r="D44" s="22">
        <v>46310</v>
      </c>
      <c r="E44" s="23">
        <v>334.14</v>
      </c>
      <c r="F44" s="24">
        <v>0.08675</v>
      </c>
      <c r="G44" s="25">
        <f t="shared" ref="G44" si="2">IF(E44&lt;&gt;"",E44*0.1%,"")</f>
        <v>0.33414</v>
      </c>
      <c r="H44" s="26">
        <f t="shared" ref="H44:H107" si="3">IF(F44="","",IF(OR($C44="USDC",$C44="USDT"),F44*$R$34,F44))</f>
        <v>0.4415575</v>
      </c>
      <c r="I44" s="26">
        <f t="shared" ref="I44" si="4">F44*E44</f>
        <v>28.986645</v>
      </c>
      <c r="J44" s="26">
        <f t="shared" ref="J44:J107" si="5">IF(OR($C44="USDC",$C44="USDT"),I44*$R$34,I44)</f>
        <v>147.54202305</v>
      </c>
      <c r="K44" s="22">
        <v>46310</v>
      </c>
      <c r="L44" s="27">
        <f t="shared" ref="L44" si="6">IF(E44="","",E44-G44)</f>
        <v>333.80586</v>
      </c>
      <c r="M44" s="24">
        <v>0.08821</v>
      </c>
      <c r="N44" s="26">
        <f t="shared" ref="N44:N107" si="7">IF(OR($C44="USDC",$C44="USDT"),M44*$R$34,M44)</f>
        <v>0.4489889</v>
      </c>
      <c r="O44" s="26">
        <f t="shared" ref="O44" si="8">IF(M44&lt;&gt;"",M44*(E44-G44),"")</f>
        <v>29.4450149106</v>
      </c>
      <c r="P44" s="26">
        <f t="shared" ref="P44:P107" si="9">IF(O44="","",IF(OR($C44="USDC",$C44="USDT"),O44*$R$34,O44))</f>
        <v>149.875125894954</v>
      </c>
      <c r="Q44" s="28">
        <f t="shared" ref="Q44" si="10">IF(M44&lt;&gt;"",P44-J44,0)</f>
        <v>2.333102844954</v>
      </c>
      <c r="R44" s="29">
        <f t="shared" ref="R44" si="11">IF(J44&gt;0,Q44/J44,"")</f>
        <v>0.0158131412103746</v>
      </c>
    </row>
    <row r="45" spans="1:22">
      <c r="A45" s="20"/>
      <c r="B45" s="20"/>
      <c r="C45" s="21"/>
      <c r="D45" s="22"/>
      <c r="E45" s="23"/>
      <c r="F45" s="24"/>
      <c r="G45" s="25" t="str">
        <f t="shared" ref="G45:G108" si="12">IF(E45&lt;&gt;"",E45*0.1%,"")</f>
        <v/>
      </c>
      <c r="H45" s="26" t="str">
        <f t="shared" si="3"/>
        <v/>
      </c>
      <c r="I45" s="26">
        <f t="shared" ref="I45:I108" si="13">F45*E45</f>
        <v>0</v>
      </c>
      <c r="J45" s="26">
        <f t="shared" si="5"/>
        <v>0</v>
      </c>
      <c r="K45" s="22"/>
      <c r="L45" s="27" t="str">
        <f t="shared" ref="L45:L108" si="14">IF(E45="","",E45-G45)</f>
        <v/>
      </c>
      <c r="M45" s="24"/>
      <c r="N45" s="26">
        <f t="shared" si="7"/>
        <v>0</v>
      </c>
      <c r="O45" s="26" t="str">
        <f t="shared" ref="O45:O108" si="15">IF(M45&lt;&gt;"",M45*(E45-G45),"")</f>
        <v/>
      </c>
      <c r="P45" s="26" t="str">
        <f t="shared" si="9"/>
        <v/>
      </c>
      <c r="Q45" s="28">
        <f t="shared" ref="Q45:Q108" si="16">IF(M45&lt;&gt;"",P45-J45,0)</f>
        <v>0</v>
      </c>
      <c r="R45" s="29" t="str">
        <f t="shared" ref="R45:R108" si="17">IF(J45&gt;0,Q45/J45,"")</f>
        <v/>
      </c>
    </row>
    <row r="46" spans="1:22">
      <c r="A46" s="20"/>
      <c r="B46" s="20"/>
      <c r="C46" s="21"/>
      <c r="D46" s="22"/>
      <c r="E46" s="23"/>
      <c r="F46" s="24"/>
      <c r="G46" s="25" t="str">
        <f t="shared" si="12"/>
        <v/>
      </c>
      <c r="H46" s="26" t="str">
        <f t="shared" si="3"/>
        <v/>
      </c>
      <c r="I46" s="26">
        <f t="shared" si="13"/>
        <v>0</v>
      </c>
      <c r="J46" s="26">
        <f t="shared" si="5"/>
        <v>0</v>
      </c>
      <c r="K46" s="22"/>
      <c r="L46" s="27" t="str">
        <f t="shared" si="14"/>
        <v/>
      </c>
      <c r="M46" s="24"/>
      <c r="N46" s="26">
        <f t="shared" si="7"/>
        <v>0</v>
      </c>
      <c r="O46" s="26" t="str">
        <f t="shared" si="15"/>
        <v/>
      </c>
      <c r="P46" s="26" t="str">
        <f t="shared" si="9"/>
        <v/>
      </c>
      <c r="Q46" s="28">
        <f t="shared" si="16"/>
        <v>0</v>
      </c>
      <c r="R46" s="29" t="str">
        <f t="shared" si="17"/>
        <v/>
      </c>
    </row>
    <row r="47" spans="1:22">
      <c r="A47" s="20"/>
      <c r="B47" s="20"/>
      <c r="C47" s="21"/>
      <c r="D47" s="22"/>
      <c r="E47" s="23"/>
      <c r="F47" s="24"/>
      <c r="G47" s="25" t="str">
        <f t="shared" si="12"/>
        <v/>
      </c>
      <c r="H47" s="26" t="str">
        <f t="shared" si="3"/>
        <v/>
      </c>
      <c r="I47" s="26">
        <f t="shared" si="13"/>
        <v>0</v>
      </c>
      <c r="J47" s="26">
        <f t="shared" si="5"/>
        <v>0</v>
      </c>
      <c r="K47" s="22"/>
      <c r="L47" s="27" t="str">
        <f t="shared" si="14"/>
        <v/>
      </c>
      <c r="M47" s="24"/>
      <c r="N47" s="26">
        <f t="shared" si="7"/>
        <v>0</v>
      </c>
      <c r="O47" s="26" t="str">
        <f t="shared" si="15"/>
        <v/>
      </c>
      <c r="P47" s="26" t="str">
        <f t="shared" si="9"/>
        <v/>
      </c>
      <c r="Q47" s="28">
        <f t="shared" si="16"/>
        <v>0</v>
      </c>
      <c r="R47" s="29" t="str">
        <f t="shared" si="17"/>
        <v/>
      </c>
    </row>
    <row r="48" spans="1:22">
      <c r="A48" s="20"/>
      <c r="B48" s="20"/>
      <c r="C48" s="21"/>
      <c r="D48" s="22"/>
      <c r="E48" s="23"/>
      <c r="F48" s="24"/>
      <c r="G48" s="25" t="str">
        <f t="shared" si="12"/>
        <v/>
      </c>
      <c r="H48" s="26" t="str">
        <f t="shared" si="3"/>
        <v/>
      </c>
      <c r="I48" s="26">
        <f t="shared" si="13"/>
        <v>0</v>
      </c>
      <c r="J48" s="26">
        <f t="shared" si="5"/>
        <v>0</v>
      </c>
      <c r="K48" s="22"/>
      <c r="L48" s="27" t="str">
        <f t="shared" si="14"/>
        <v/>
      </c>
      <c r="M48" s="24"/>
      <c r="N48" s="26">
        <f t="shared" si="7"/>
        <v>0</v>
      </c>
      <c r="O48" s="26" t="str">
        <f t="shared" si="15"/>
        <v/>
      </c>
      <c r="P48" s="26" t="str">
        <f t="shared" si="9"/>
        <v/>
      </c>
      <c r="Q48" s="28">
        <f t="shared" si="16"/>
        <v>0</v>
      </c>
      <c r="R48" s="29" t="str">
        <f t="shared" si="17"/>
        <v/>
      </c>
    </row>
    <row r="49" spans="1:18">
      <c r="A49" s="20"/>
      <c r="B49" s="20"/>
      <c r="C49" s="21"/>
      <c r="D49" s="22"/>
      <c r="E49" s="23"/>
      <c r="F49" s="24"/>
      <c r="G49" s="25" t="str">
        <f t="shared" si="12"/>
        <v/>
      </c>
      <c r="H49" s="26" t="str">
        <f t="shared" si="3"/>
        <v/>
      </c>
      <c r="I49" s="26">
        <f t="shared" si="13"/>
        <v>0</v>
      </c>
      <c r="J49" s="26">
        <f t="shared" si="5"/>
        <v>0</v>
      </c>
      <c r="K49" s="22"/>
      <c r="L49" s="27" t="str">
        <f t="shared" si="14"/>
        <v/>
      </c>
      <c r="M49" s="24"/>
      <c r="N49" s="26">
        <f t="shared" si="7"/>
        <v>0</v>
      </c>
      <c r="O49" s="26" t="str">
        <f t="shared" si="15"/>
        <v/>
      </c>
      <c r="P49" s="26" t="str">
        <f t="shared" si="9"/>
        <v/>
      </c>
      <c r="Q49" s="28">
        <f t="shared" si="16"/>
        <v>0</v>
      </c>
      <c r="R49" s="29" t="str">
        <f t="shared" si="17"/>
        <v/>
      </c>
    </row>
    <row r="50" spans="1:18">
      <c r="A50" s="20"/>
      <c r="B50" s="20"/>
      <c r="C50" s="21"/>
      <c r="D50" s="22"/>
      <c r="E50" s="23"/>
      <c r="F50" s="24"/>
      <c r="G50" s="25" t="str">
        <f t="shared" si="12"/>
        <v/>
      </c>
      <c r="H50" s="26" t="str">
        <f t="shared" si="3"/>
        <v/>
      </c>
      <c r="I50" s="26">
        <f t="shared" si="13"/>
        <v>0</v>
      </c>
      <c r="J50" s="26">
        <f t="shared" si="5"/>
        <v>0</v>
      </c>
      <c r="K50" s="22"/>
      <c r="L50" s="27" t="str">
        <f t="shared" si="14"/>
        <v/>
      </c>
      <c r="M50" s="24"/>
      <c r="N50" s="26">
        <f t="shared" si="7"/>
        <v>0</v>
      </c>
      <c r="O50" s="26" t="str">
        <f t="shared" si="15"/>
        <v/>
      </c>
      <c r="P50" s="26" t="str">
        <f t="shared" si="9"/>
        <v/>
      </c>
      <c r="Q50" s="28">
        <f t="shared" si="16"/>
        <v>0</v>
      </c>
      <c r="R50" s="29" t="str">
        <f t="shared" si="17"/>
        <v/>
      </c>
    </row>
    <row r="51" spans="1:18">
      <c r="A51" s="20"/>
      <c r="B51" s="20"/>
      <c r="C51" s="21"/>
      <c r="D51" s="22"/>
      <c r="E51" s="23"/>
      <c r="F51" s="24"/>
      <c r="G51" s="25" t="str">
        <f t="shared" si="12"/>
        <v/>
      </c>
      <c r="H51" s="26" t="str">
        <f t="shared" si="3"/>
        <v/>
      </c>
      <c r="I51" s="26">
        <f t="shared" si="13"/>
        <v>0</v>
      </c>
      <c r="J51" s="26">
        <f t="shared" si="5"/>
        <v>0</v>
      </c>
      <c r="K51" s="22"/>
      <c r="L51" s="27" t="str">
        <f t="shared" si="14"/>
        <v/>
      </c>
      <c r="M51" s="24"/>
      <c r="N51" s="26">
        <f t="shared" si="7"/>
        <v>0</v>
      </c>
      <c r="O51" s="26" t="str">
        <f t="shared" si="15"/>
        <v/>
      </c>
      <c r="P51" s="26" t="str">
        <f t="shared" si="9"/>
        <v/>
      </c>
      <c r="Q51" s="28">
        <f t="shared" si="16"/>
        <v>0</v>
      </c>
      <c r="R51" s="29" t="str">
        <f t="shared" si="17"/>
        <v/>
      </c>
    </row>
    <row r="52" spans="1:18">
      <c r="A52" s="20"/>
      <c r="B52" s="20"/>
      <c r="C52" s="21"/>
      <c r="D52" s="22"/>
      <c r="E52" s="23"/>
      <c r="F52" s="24"/>
      <c r="G52" s="25" t="str">
        <f t="shared" si="12"/>
        <v/>
      </c>
      <c r="H52" s="26" t="str">
        <f t="shared" si="3"/>
        <v/>
      </c>
      <c r="I52" s="26">
        <f t="shared" si="13"/>
        <v>0</v>
      </c>
      <c r="J52" s="26">
        <f t="shared" si="5"/>
        <v>0</v>
      </c>
      <c r="K52" s="22"/>
      <c r="L52" s="27" t="str">
        <f t="shared" si="14"/>
        <v/>
      </c>
      <c r="M52" s="24"/>
      <c r="N52" s="26">
        <f t="shared" si="7"/>
        <v>0</v>
      </c>
      <c r="O52" s="26" t="str">
        <f t="shared" si="15"/>
        <v/>
      </c>
      <c r="P52" s="26" t="str">
        <f t="shared" si="9"/>
        <v/>
      </c>
      <c r="Q52" s="28">
        <f t="shared" si="16"/>
        <v>0</v>
      </c>
      <c r="R52" s="29" t="str">
        <f t="shared" si="17"/>
        <v/>
      </c>
    </row>
    <row r="53" spans="1:18">
      <c r="A53" s="20"/>
      <c r="B53" s="20"/>
      <c r="C53" s="21"/>
      <c r="D53" s="22"/>
      <c r="E53" s="23"/>
      <c r="F53" s="24"/>
      <c r="G53" s="25" t="str">
        <f t="shared" si="12"/>
        <v/>
      </c>
      <c r="H53" s="26" t="str">
        <f t="shared" si="3"/>
        <v/>
      </c>
      <c r="I53" s="26">
        <f t="shared" si="13"/>
        <v>0</v>
      </c>
      <c r="J53" s="26">
        <f t="shared" si="5"/>
        <v>0</v>
      </c>
      <c r="K53" s="22"/>
      <c r="L53" s="27" t="str">
        <f t="shared" si="14"/>
        <v/>
      </c>
      <c r="M53" s="24"/>
      <c r="N53" s="26">
        <f t="shared" si="7"/>
        <v>0</v>
      </c>
      <c r="O53" s="26" t="str">
        <f t="shared" si="15"/>
        <v/>
      </c>
      <c r="P53" s="26" t="str">
        <f t="shared" si="9"/>
        <v/>
      </c>
      <c r="Q53" s="28">
        <f t="shared" si="16"/>
        <v>0</v>
      </c>
      <c r="R53" s="29" t="str">
        <f t="shared" si="17"/>
        <v/>
      </c>
    </row>
    <row r="54" spans="1:18">
      <c r="A54" s="20"/>
      <c r="B54" s="20"/>
      <c r="C54" s="21"/>
      <c r="D54" s="22"/>
      <c r="E54" s="23"/>
      <c r="F54" s="24"/>
      <c r="G54" s="25" t="str">
        <f t="shared" si="12"/>
        <v/>
      </c>
      <c r="H54" s="26" t="str">
        <f t="shared" si="3"/>
        <v/>
      </c>
      <c r="I54" s="26">
        <f t="shared" si="13"/>
        <v>0</v>
      </c>
      <c r="J54" s="26">
        <f t="shared" si="5"/>
        <v>0</v>
      </c>
      <c r="K54" s="22"/>
      <c r="L54" s="27" t="str">
        <f t="shared" si="14"/>
        <v/>
      </c>
      <c r="M54" s="24"/>
      <c r="N54" s="26">
        <f t="shared" si="7"/>
        <v>0</v>
      </c>
      <c r="O54" s="26" t="str">
        <f t="shared" si="15"/>
        <v/>
      </c>
      <c r="P54" s="26" t="str">
        <f t="shared" si="9"/>
        <v/>
      </c>
      <c r="Q54" s="28">
        <f t="shared" si="16"/>
        <v>0</v>
      </c>
      <c r="R54" s="29" t="str">
        <f t="shared" si="17"/>
        <v/>
      </c>
    </row>
    <row r="55" spans="1:18">
      <c r="A55" s="20"/>
      <c r="B55" s="20"/>
      <c r="C55" s="21"/>
      <c r="D55" s="22"/>
      <c r="E55" s="23"/>
      <c r="F55" s="24"/>
      <c r="G55" s="25" t="str">
        <f t="shared" si="12"/>
        <v/>
      </c>
      <c r="H55" s="26" t="str">
        <f t="shared" si="3"/>
        <v/>
      </c>
      <c r="I55" s="26">
        <f t="shared" si="13"/>
        <v>0</v>
      </c>
      <c r="J55" s="26">
        <f t="shared" si="5"/>
        <v>0</v>
      </c>
      <c r="K55" s="22"/>
      <c r="L55" s="27" t="str">
        <f t="shared" si="14"/>
        <v/>
      </c>
      <c r="M55" s="24"/>
      <c r="N55" s="26">
        <f t="shared" si="7"/>
        <v>0</v>
      </c>
      <c r="O55" s="26" t="str">
        <f t="shared" si="15"/>
        <v/>
      </c>
      <c r="P55" s="26" t="str">
        <f t="shared" si="9"/>
        <v/>
      </c>
      <c r="Q55" s="28">
        <f t="shared" si="16"/>
        <v>0</v>
      </c>
      <c r="R55" s="29" t="str">
        <f t="shared" si="17"/>
        <v/>
      </c>
    </row>
    <row r="56" spans="1:18">
      <c r="A56" s="20"/>
      <c r="B56" s="20"/>
      <c r="C56" s="21"/>
      <c r="D56" s="22"/>
      <c r="E56" s="23"/>
      <c r="F56" s="24"/>
      <c r="G56" s="25" t="str">
        <f t="shared" si="12"/>
        <v/>
      </c>
      <c r="H56" s="26" t="str">
        <f t="shared" si="3"/>
        <v/>
      </c>
      <c r="I56" s="26">
        <f t="shared" si="13"/>
        <v>0</v>
      </c>
      <c r="J56" s="26">
        <f t="shared" si="5"/>
        <v>0</v>
      </c>
      <c r="K56" s="22"/>
      <c r="L56" s="27" t="str">
        <f t="shared" si="14"/>
        <v/>
      </c>
      <c r="M56" s="24"/>
      <c r="N56" s="26">
        <f t="shared" si="7"/>
        <v>0</v>
      </c>
      <c r="O56" s="26" t="str">
        <f t="shared" si="15"/>
        <v/>
      </c>
      <c r="P56" s="26" t="str">
        <f t="shared" si="9"/>
        <v/>
      </c>
      <c r="Q56" s="28">
        <f t="shared" si="16"/>
        <v>0</v>
      </c>
      <c r="R56" s="29" t="str">
        <f t="shared" si="17"/>
        <v/>
      </c>
    </row>
    <row r="57" spans="1:18">
      <c r="A57" s="20"/>
      <c r="B57" s="20"/>
      <c r="C57" s="21"/>
      <c r="D57" s="22"/>
      <c r="E57" s="23"/>
      <c r="F57" s="24"/>
      <c r="G57" s="25" t="str">
        <f t="shared" si="12"/>
        <v/>
      </c>
      <c r="H57" s="26" t="str">
        <f t="shared" si="3"/>
        <v/>
      </c>
      <c r="I57" s="26">
        <f t="shared" si="13"/>
        <v>0</v>
      </c>
      <c r="J57" s="26">
        <f t="shared" si="5"/>
        <v>0</v>
      </c>
      <c r="K57" s="22"/>
      <c r="L57" s="27" t="str">
        <f t="shared" si="14"/>
        <v/>
      </c>
      <c r="M57" s="24"/>
      <c r="N57" s="26">
        <f t="shared" si="7"/>
        <v>0</v>
      </c>
      <c r="O57" s="26" t="str">
        <f t="shared" si="15"/>
        <v/>
      </c>
      <c r="P57" s="26" t="str">
        <f t="shared" si="9"/>
        <v/>
      </c>
      <c r="Q57" s="28">
        <f t="shared" si="16"/>
        <v>0</v>
      </c>
      <c r="R57" s="29" t="str">
        <f t="shared" si="17"/>
        <v/>
      </c>
    </row>
    <row r="58" spans="1:18">
      <c r="A58" s="20"/>
      <c r="B58" s="20"/>
      <c r="C58" s="21"/>
      <c r="D58" s="22"/>
      <c r="E58" s="23"/>
      <c r="F58" s="24"/>
      <c r="G58" s="25" t="str">
        <f t="shared" si="12"/>
        <v/>
      </c>
      <c r="H58" s="26" t="str">
        <f t="shared" si="3"/>
        <v/>
      </c>
      <c r="I58" s="26">
        <f t="shared" si="13"/>
        <v>0</v>
      </c>
      <c r="J58" s="26">
        <f t="shared" si="5"/>
        <v>0</v>
      </c>
      <c r="K58" s="22"/>
      <c r="L58" s="27" t="str">
        <f t="shared" si="14"/>
        <v/>
      </c>
      <c r="M58" s="24"/>
      <c r="N58" s="26">
        <f t="shared" si="7"/>
        <v>0</v>
      </c>
      <c r="O58" s="26" t="str">
        <f t="shared" si="15"/>
        <v/>
      </c>
      <c r="P58" s="26" t="str">
        <f t="shared" si="9"/>
        <v/>
      </c>
      <c r="Q58" s="28">
        <f t="shared" si="16"/>
        <v>0</v>
      </c>
      <c r="R58" s="29" t="str">
        <f t="shared" si="17"/>
        <v/>
      </c>
    </row>
    <row r="59" spans="1:18">
      <c r="A59" s="20"/>
      <c r="B59" s="20"/>
      <c r="C59" s="21"/>
      <c r="D59" s="22"/>
      <c r="E59" s="23"/>
      <c r="F59" s="24"/>
      <c r="G59" s="25" t="str">
        <f t="shared" si="12"/>
        <v/>
      </c>
      <c r="H59" s="26" t="str">
        <f t="shared" si="3"/>
        <v/>
      </c>
      <c r="I59" s="26">
        <f t="shared" si="13"/>
        <v>0</v>
      </c>
      <c r="J59" s="26">
        <f t="shared" si="5"/>
        <v>0</v>
      </c>
      <c r="K59" s="22"/>
      <c r="L59" s="27" t="str">
        <f t="shared" si="14"/>
        <v/>
      </c>
      <c r="M59" s="24"/>
      <c r="N59" s="26">
        <f t="shared" si="7"/>
        <v>0</v>
      </c>
      <c r="O59" s="26" t="str">
        <f t="shared" si="15"/>
        <v/>
      </c>
      <c r="P59" s="26" t="str">
        <f t="shared" si="9"/>
        <v/>
      </c>
      <c r="Q59" s="28">
        <f t="shared" si="16"/>
        <v>0</v>
      </c>
      <c r="R59" s="29" t="str">
        <f t="shared" si="17"/>
        <v/>
      </c>
    </row>
    <row r="60" spans="1:18">
      <c r="A60" s="20"/>
      <c r="B60" s="20"/>
      <c r="C60" s="21"/>
      <c r="D60" s="22"/>
      <c r="E60" s="23"/>
      <c r="F60" s="24"/>
      <c r="G60" s="25" t="str">
        <f t="shared" si="12"/>
        <v/>
      </c>
      <c r="H60" s="26" t="str">
        <f t="shared" si="3"/>
        <v/>
      </c>
      <c r="I60" s="26">
        <f t="shared" si="13"/>
        <v>0</v>
      </c>
      <c r="J60" s="26">
        <f t="shared" si="5"/>
        <v>0</v>
      </c>
      <c r="K60" s="22"/>
      <c r="L60" s="27" t="str">
        <f t="shared" si="14"/>
        <v/>
      </c>
      <c r="M60" s="24"/>
      <c r="N60" s="26">
        <f t="shared" si="7"/>
        <v>0</v>
      </c>
      <c r="O60" s="26" t="str">
        <f t="shared" si="15"/>
        <v/>
      </c>
      <c r="P60" s="26" t="str">
        <f t="shared" si="9"/>
        <v/>
      </c>
      <c r="Q60" s="28">
        <f t="shared" si="16"/>
        <v>0</v>
      </c>
      <c r="R60" s="29" t="str">
        <f t="shared" si="17"/>
        <v/>
      </c>
    </row>
    <row r="61" spans="1:18">
      <c r="A61" s="20"/>
      <c r="B61" s="20"/>
      <c r="C61" s="21"/>
      <c r="D61" s="22"/>
      <c r="E61" s="23"/>
      <c r="F61" s="24"/>
      <c r="G61" s="25" t="str">
        <f t="shared" si="12"/>
        <v/>
      </c>
      <c r="H61" s="26" t="str">
        <f t="shared" si="3"/>
        <v/>
      </c>
      <c r="I61" s="26">
        <f t="shared" si="13"/>
        <v>0</v>
      </c>
      <c r="J61" s="26">
        <f t="shared" si="5"/>
        <v>0</v>
      </c>
      <c r="K61" s="22"/>
      <c r="L61" s="27" t="str">
        <f t="shared" si="14"/>
        <v/>
      </c>
      <c r="M61" s="24"/>
      <c r="N61" s="26">
        <f t="shared" si="7"/>
        <v>0</v>
      </c>
      <c r="O61" s="26" t="str">
        <f t="shared" si="15"/>
        <v/>
      </c>
      <c r="P61" s="26" t="str">
        <f t="shared" si="9"/>
        <v/>
      </c>
      <c r="Q61" s="28">
        <f t="shared" si="16"/>
        <v>0</v>
      </c>
      <c r="R61" s="29" t="str">
        <f t="shared" si="17"/>
        <v/>
      </c>
    </row>
    <row r="62" spans="1:18">
      <c r="A62" s="20"/>
      <c r="B62" s="20"/>
      <c r="C62" s="21"/>
      <c r="D62" s="22"/>
      <c r="E62" s="23"/>
      <c r="F62" s="24"/>
      <c r="G62" s="25" t="str">
        <f t="shared" si="12"/>
        <v/>
      </c>
      <c r="H62" s="26" t="str">
        <f t="shared" si="3"/>
        <v/>
      </c>
      <c r="I62" s="26">
        <f t="shared" si="13"/>
        <v>0</v>
      </c>
      <c r="J62" s="26">
        <f t="shared" si="5"/>
        <v>0</v>
      </c>
      <c r="K62" s="22"/>
      <c r="L62" s="27" t="str">
        <f t="shared" si="14"/>
        <v/>
      </c>
      <c r="M62" s="24"/>
      <c r="N62" s="26">
        <f t="shared" si="7"/>
        <v>0</v>
      </c>
      <c r="O62" s="26" t="str">
        <f t="shared" si="15"/>
        <v/>
      </c>
      <c r="P62" s="26" t="str">
        <f t="shared" si="9"/>
        <v/>
      </c>
      <c r="Q62" s="28">
        <f t="shared" si="16"/>
        <v>0</v>
      </c>
      <c r="R62" s="29" t="str">
        <f t="shared" si="17"/>
        <v/>
      </c>
    </row>
    <row r="63" spans="1:18">
      <c r="A63" s="20"/>
      <c r="B63" s="20"/>
      <c r="C63" s="21"/>
      <c r="D63" s="22"/>
      <c r="E63" s="23"/>
      <c r="F63" s="24"/>
      <c r="G63" s="25" t="str">
        <f t="shared" si="12"/>
        <v/>
      </c>
      <c r="H63" s="26" t="str">
        <f t="shared" si="3"/>
        <v/>
      </c>
      <c r="I63" s="26">
        <f t="shared" si="13"/>
        <v>0</v>
      </c>
      <c r="J63" s="26">
        <f t="shared" si="5"/>
        <v>0</v>
      </c>
      <c r="K63" s="22"/>
      <c r="L63" s="27" t="str">
        <f t="shared" si="14"/>
        <v/>
      </c>
      <c r="M63" s="24"/>
      <c r="N63" s="26">
        <f t="shared" si="7"/>
        <v>0</v>
      </c>
      <c r="O63" s="26" t="str">
        <f t="shared" si="15"/>
        <v/>
      </c>
      <c r="P63" s="26" t="str">
        <f t="shared" si="9"/>
        <v/>
      </c>
      <c r="Q63" s="28">
        <f t="shared" si="16"/>
        <v>0</v>
      </c>
      <c r="R63" s="29" t="str">
        <f t="shared" si="17"/>
        <v/>
      </c>
    </row>
    <row r="64" spans="1:18">
      <c r="A64" s="20"/>
      <c r="B64" s="20"/>
      <c r="C64" s="21"/>
      <c r="D64" s="22"/>
      <c r="E64" s="23"/>
      <c r="F64" s="24"/>
      <c r="G64" s="25" t="str">
        <f t="shared" si="12"/>
        <v/>
      </c>
      <c r="H64" s="26" t="str">
        <f t="shared" si="3"/>
        <v/>
      </c>
      <c r="I64" s="26">
        <f t="shared" si="13"/>
        <v>0</v>
      </c>
      <c r="J64" s="26">
        <f t="shared" si="5"/>
        <v>0</v>
      </c>
      <c r="K64" s="22"/>
      <c r="L64" s="27" t="str">
        <f t="shared" si="14"/>
        <v/>
      </c>
      <c r="M64" s="24"/>
      <c r="N64" s="26">
        <f t="shared" si="7"/>
        <v>0</v>
      </c>
      <c r="O64" s="26" t="str">
        <f t="shared" si="15"/>
        <v/>
      </c>
      <c r="P64" s="26" t="str">
        <f t="shared" si="9"/>
        <v/>
      </c>
      <c r="Q64" s="28">
        <f t="shared" si="16"/>
        <v>0</v>
      </c>
      <c r="R64" s="29" t="str">
        <f t="shared" si="17"/>
        <v/>
      </c>
    </row>
    <row r="65" spans="1:18">
      <c r="A65" s="20"/>
      <c r="B65" s="20"/>
      <c r="C65" s="21"/>
      <c r="D65" s="22"/>
      <c r="E65" s="23"/>
      <c r="F65" s="24"/>
      <c r="G65" s="25" t="str">
        <f t="shared" si="12"/>
        <v/>
      </c>
      <c r="H65" s="26" t="str">
        <f t="shared" si="3"/>
        <v/>
      </c>
      <c r="I65" s="26">
        <f t="shared" si="13"/>
        <v>0</v>
      </c>
      <c r="J65" s="26">
        <f t="shared" si="5"/>
        <v>0</v>
      </c>
      <c r="K65" s="22"/>
      <c r="L65" s="27" t="str">
        <f t="shared" si="14"/>
        <v/>
      </c>
      <c r="M65" s="24"/>
      <c r="N65" s="26">
        <f t="shared" si="7"/>
        <v>0</v>
      </c>
      <c r="O65" s="26" t="str">
        <f t="shared" si="15"/>
        <v/>
      </c>
      <c r="P65" s="26" t="str">
        <f t="shared" si="9"/>
        <v/>
      </c>
      <c r="Q65" s="28">
        <f t="shared" si="16"/>
        <v>0</v>
      </c>
      <c r="R65" s="29" t="str">
        <f t="shared" si="17"/>
        <v/>
      </c>
    </row>
    <row r="66" spans="1:18">
      <c r="A66" s="20"/>
      <c r="B66" s="20"/>
      <c r="C66" s="21"/>
      <c r="D66" s="22"/>
      <c r="E66" s="23"/>
      <c r="F66" s="24"/>
      <c r="G66" s="25" t="str">
        <f t="shared" si="12"/>
        <v/>
      </c>
      <c r="H66" s="26" t="str">
        <f t="shared" si="3"/>
        <v/>
      </c>
      <c r="I66" s="26">
        <f t="shared" si="13"/>
        <v>0</v>
      </c>
      <c r="J66" s="26">
        <f t="shared" si="5"/>
        <v>0</v>
      </c>
      <c r="K66" s="22"/>
      <c r="L66" s="27" t="str">
        <f t="shared" si="14"/>
        <v/>
      </c>
      <c r="M66" s="24"/>
      <c r="N66" s="26">
        <f t="shared" si="7"/>
        <v>0</v>
      </c>
      <c r="O66" s="26" t="str">
        <f t="shared" si="15"/>
        <v/>
      </c>
      <c r="P66" s="26" t="str">
        <f t="shared" si="9"/>
        <v/>
      </c>
      <c r="Q66" s="28">
        <f t="shared" si="16"/>
        <v>0</v>
      </c>
      <c r="R66" s="29" t="str">
        <f t="shared" si="17"/>
        <v/>
      </c>
    </row>
    <row r="67" spans="1:18">
      <c r="A67" s="20"/>
      <c r="B67" s="20"/>
      <c r="C67" s="21"/>
      <c r="D67" s="22"/>
      <c r="E67" s="23"/>
      <c r="F67" s="24"/>
      <c r="G67" s="25" t="str">
        <f t="shared" si="12"/>
        <v/>
      </c>
      <c r="H67" s="26" t="str">
        <f t="shared" si="3"/>
        <v/>
      </c>
      <c r="I67" s="26">
        <f t="shared" si="13"/>
        <v>0</v>
      </c>
      <c r="J67" s="26">
        <f t="shared" si="5"/>
        <v>0</v>
      </c>
      <c r="K67" s="22"/>
      <c r="L67" s="27" t="str">
        <f t="shared" si="14"/>
        <v/>
      </c>
      <c r="M67" s="24"/>
      <c r="N67" s="26">
        <f t="shared" si="7"/>
        <v>0</v>
      </c>
      <c r="O67" s="26" t="str">
        <f t="shared" si="15"/>
        <v/>
      </c>
      <c r="P67" s="26" t="str">
        <f t="shared" si="9"/>
        <v/>
      </c>
      <c r="Q67" s="28">
        <f t="shared" si="16"/>
        <v>0</v>
      </c>
      <c r="R67" s="29" t="str">
        <f t="shared" si="17"/>
        <v/>
      </c>
    </row>
    <row r="68" spans="1:18">
      <c r="A68" s="20"/>
      <c r="B68" s="20"/>
      <c r="C68" s="21"/>
      <c r="D68" s="22"/>
      <c r="E68" s="23"/>
      <c r="F68" s="24"/>
      <c r="G68" s="25" t="str">
        <f t="shared" si="12"/>
        <v/>
      </c>
      <c r="H68" s="26" t="str">
        <f t="shared" si="3"/>
        <v/>
      </c>
      <c r="I68" s="26">
        <f t="shared" si="13"/>
        <v>0</v>
      </c>
      <c r="J68" s="26">
        <f t="shared" si="5"/>
        <v>0</v>
      </c>
      <c r="K68" s="22"/>
      <c r="L68" s="27" t="str">
        <f t="shared" si="14"/>
        <v/>
      </c>
      <c r="M68" s="24"/>
      <c r="N68" s="26">
        <f t="shared" si="7"/>
        <v>0</v>
      </c>
      <c r="O68" s="26" t="str">
        <f t="shared" si="15"/>
        <v/>
      </c>
      <c r="P68" s="26" t="str">
        <f t="shared" si="9"/>
        <v/>
      </c>
      <c r="Q68" s="28">
        <f t="shared" si="16"/>
        <v>0</v>
      </c>
      <c r="R68" s="29" t="str">
        <f t="shared" si="17"/>
        <v/>
      </c>
    </row>
    <row r="69" spans="1:18">
      <c r="A69" s="20"/>
      <c r="B69" s="20"/>
      <c r="C69" s="21"/>
      <c r="D69" s="22"/>
      <c r="E69" s="23"/>
      <c r="F69" s="24"/>
      <c r="G69" s="25" t="str">
        <f t="shared" si="12"/>
        <v/>
      </c>
      <c r="H69" s="26" t="str">
        <f t="shared" si="3"/>
        <v/>
      </c>
      <c r="I69" s="26">
        <f t="shared" si="13"/>
        <v>0</v>
      </c>
      <c r="J69" s="26">
        <f t="shared" si="5"/>
        <v>0</v>
      </c>
      <c r="K69" s="22"/>
      <c r="L69" s="27" t="str">
        <f t="shared" si="14"/>
        <v/>
      </c>
      <c r="M69" s="24"/>
      <c r="N69" s="26">
        <f t="shared" si="7"/>
        <v>0</v>
      </c>
      <c r="O69" s="26" t="str">
        <f t="shared" si="15"/>
        <v/>
      </c>
      <c r="P69" s="26" t="str">
        <f t="shared" si="9"/>
        <v/>
      </c>
      <c r="Q69" s="28">
        <f t="shared" si="16"/>
        <v>0</v>
      </c>
      <c r="R69" s="29" t="str">
        <f t="shared" si="17"/>
        <v/>
      </c>
    </row>
    <row r="70" spans="1:18">
      <c r="A70" s="20"/>
      <c r="B70" s="20"/>
      <c r="C70" s="21"/>
      <c r="D70" s="22"/>
      <c r="E70" s="23"/>
      <c r="F70" s="24"/>
      <c r="G70" s="25" t="str">
        <f t="shared" si="12"/>
        <v/>
      </c>
      <c r="H70" s="26" t="str">
        <f t="shared" si="3"/>
        <v/>
      </c>
      <c r="I70" s="26">
        <f t="shared" si="13"/>
        <v>0</v>
      </c>
      <c r="J70" s="26">
        <f t="shared" si="5"/>
        <v>0</v>
      </c>
      <c r="K70" s="22"/>
      <c r="L70" s="27" t="str">
        <f t="shared" si="14"/>
        <v/>
      </c>
      <c r="M70" s="24"/>
      <c r="N70" s="26">
        <f t="shared" si="7"/>
        <v>0</v>
      </c>
      <c r="O70" s="26" t="str">
        <f t="shared" si="15"/>
        <v/>
      </c>
      <c r="P70" s="26" t="str">
        <f t="shared" si="9"/>
        <v/>
      </c>
      <c r="Q70" s="28">
        <f t="shared" si="16"/>
        <v>0</v>
      </c>
      <c r="R70" s="29" t="str">
        <f t="shared" si="17"/>
        <v/>
      </c>
    </row>
    <row r="71" spans="1:18">
      <c r="A71" s="20"/>
      <c r="B71" s="20"/>
      <c r="C71" s="21"/>
      <c r="D71" s="22"/>
      <c r="E71" s="23"/>
      <c r="F71" s="24"/>
      <c r="G71" s="25" t="str">
        <f t="shared" si="12"/>
        <v/>
      </c>
      <c r="H71" s="26" t="str">
        <f t="shared" si="3"/>
        <v/>
      </c>
      <c r="I71" s="26">
        <f t="shared" si="13"/>
        <v>0</v>
      </c>
      <c r="J71" s="26">
        <f t="shared" si="5"/>
        <v>0</v>
      </c>
      <c r="K71" s="22"/>
      <c r="L71" s="27" t="str">
        <f t="shared" si="14"/>
        <v/>
      </c>
      <c r="M71" s="24"/>
      <c r="N71" s="26">
        <f t="shared" si="7"/>
        <v>0</v>
      </c>
      <c r="O71" s="26" t="str">
        <f t="shared" si="15"/>
        <v/>
      </c>
      <c r="P71" s="26" t="str">
        <f t="shared" si="9"/>
        <v/>
      </c>
      <c r="Q71" s="28">
        <f t="shared" si="16"/>
        <v>0</v>
      </c>
      <c r="R71" s="29" t="str">
        <f t="shared" si="17"/>
        <v/>
      </c>
    </row>
    <row r="72" spans="1:18">
      <c r="A72" s="20"/>
      <c r="B72" s="20"/>
      <c r="C72" s="21"/>
      <c r="D72" s="22"/>
      <c r="E72" s="23"/>
      <c r="F72" s="24"/>
      <c r="G72" s="25" t="str">
        <f t="shared" si="12"/>
        <v/>
      </c>
      <c r="H72" s="26" t="str">
        <f t="shared" si="3"/>
        <v/>
      </c>
      <c r="I72" s="26">
        <f t="shared" si="13"/>
        <v>0</v>
      </c>
      <c r="J72" s="26">
        <f t="shared" si="5"/>
        <v>0</v>
      </c>
      <c r="K72" s="22"/>
      <c r="L72" s="27" t="str">
        <f t="shared" si="14"/>
        <v/>
      </c>
      <c r="M72" s="24"/>
      <c r="N72" s="26">
        <f t="shared" si="7"/>
        <v>0</v>
      </c>
      <c r="O72" s="26" t="str">
        <f t="shared" si="15"/>
        <v/>
      </c>
      <c r="P72" s="26" t="str">
        <f t="shared" si="9"/>
        <v/>
      </c>
      <c r="Q72" s="28">
        <f t="shared" si="16"/>
        <v>0</v>
      </c>
      <c r="R72" s="29" t="str">
        <f t="shared" si="17"/>
        <v/>
      </c>
    </row>
    <row r="73" spans="1:18">
      <c r="A73" s="20"/>
      <c r="B73" s="20"/>
      <c r="C73" s="21"/>
      <c r="D73" s="22"/>
      <c r="E73" s="23"/>
      <c r="F73" s="24"/>
      <c r="G73" s="25" t="str">
        <f t="shared" si="12"/>
        <v/>
      </c>
      <c r="H73" s="26" t="str">
        <f t="shared" si="3"/>
        <v/>
      </c>
      <c r="I73" s="26">
        <f t="shared" si="13"/>
        <v>0</v>
      </c>
      <c r="J73" s="26">
        <f t="shared" si="5"/>
        <v>0</v>
      </c>
      <c r="K73" s="22"/>
      <c r="L73" s="27" t="str">
        <f t="shared" si="14"/>
        <v/>
      </c>
      <c r="M73" s="24"/>
      <c r="N73" s="26">
        <f t="shared" si="7"/>
        <v>0</v>
      </c>
      <c r="O73" s="26" t="str">
        <f t="shared" si="15"/>
        <v/>
      </c>
      <c r="P73" s="26" t="str">
        <f t="shared" si="9"/>
        <v/>
      </c>
      <c r="Q73" s="28">
        <f t="shared" si="16"/>
        <v>0</v>
      </c>
      <c r="R73" s="29" t="str">
        <f t="shared" si="17"/>
        <v/>
      </c>
    </row>
    <row r="74" spans="1:18">
      <c r="A74" s="20"/>
      <c r="B74" s="20"/>
      <c r="C74" s="21"/>
      <c r="D74" s="22"/>
      <c r="E74" s="23"/>
      <c r="F74" s="24"/>
      <c r="G74" s="25" t="str">
        <f t="shared" si="12"/>
        <v/>
      </c>
      <c r="H74" s="26" t="str">
        <f t="shared" si="3"/>
        <v/>
      </c>
      <c r="I74" s="26">
        <f t="shared" si="13"/>
        <v>0</v>
      </c>
      <c r="J74" s="26">
        <f t="shared" si="5"/>
        <v>0</v>
      </c>
      <c r="K74" s="22"/>
      <c r="L74" s="27" t="str">
        <f t="shared" si="14"/>
        <v/>
      </c>
      <c r="M74" s="24"/>
      <c r="N74" s="26">
        <f t="shared" si="7"/>
        <v>0</v>
      </c>
      <c r="O74" s="26" t="str">
        <f t="shared" si="15"/>
        <v/>
      </c>
      <c r="P74" s="26" t="str">
        <f t="shared" si="9"/>
        <v/>
      </c>
      <c r="Q74" s="28">
        <f t="shared" si="16"/>
        <v>0</v>
      </c>
      <c r="R74" s="29" t="str">
        <f t="shared" si="17"/>
        <v/>
      </c>
    </row>
    <row r="75" spans="1:18">
      <c r="A75" s="20"/>
      <c r="B75" s="20"/>
      <c r="C75" s="21"/>
      <c r="D75" s="22"/>
      <c r="E75" s="23"/>
      <c r="F75" s="24"/>
      <c r="G75" s="25" t="str">
        <f t="shared" si="12"/>
        <v/>
      </c>
      <c r="H75" s="26" t="str">
        <f t="shared" si="3"/>
        <v/>
      </c>
      <c r="I75" s="26">
        <f t="shared" si="13"/>
        <v>0</v>
      </c>
      <c r="J75" s="26">
        <f t="shared" si="5"/>
        <v>0</v>
      </c>
      <c r="K75" s="22"/>
      <c r="L75" s="27" t="str">
        <f t="shared" si="14"/>
        <v/>
      </c>
      <c r="M75" s="24"/>
      <c r="N75" s="26">
        <f t="shared" si="7"/>
        <v>0</v>
      </c>
      <c r="O75" s="26" t="str">
        <f t="shared" si="15"/>
        <v/>
      </c>
      <c r="P75" s="26" t="str">
        <f t="shared" si="9"/>
        <v/>
      </c>
      <c r="Q75" s="28">
        <f t="shared" si="16"/>
        <v>0</v>
      </c>
      <c r="R75" s="29" t="str">
        <f t="shared" si="17"/>
        <v/>
      </c>
    </row>
    <row r="76" spans="1:18">
      <c r="A76" s="20"/>
      <c r="B76" s="20"/>
      <c r="C76" s="21"/>
      <c r="D76" s="22"/>
      <c r="E76" s="23"/>
      <c r="F76" s="24"/>
      <c r="G76" s="25" t="str">
        <f t="shared" si="12"/>
        <v/>
      </c>
      <c r="H76" s="26" t="str">
        <f t="shared" si="3"/>
        <v/>
      </c>
      <c r="I76" s="26">
        <f t="shared" si="13"/>
        <v>0</v>
      </c>
      <c r="J76" s="26">
        <f t="shared" si="5"/>
        <v>0</v>
      </c>
      <c r="K76" s="22"/>
      <c r="L76" s="27" t="str">
        <f t="shared" si="14"/>
        <v/>
      </c>
      <c r="M76" s="24"/>
      <c r="N76" s="26">
        <f t="shared" si="7"/>
        <v>0</v>
      </c>
      <c r="O76" s="26" t="str">
        <f t="shared" si="15"/>
        <v/>
      </c>
      <c r="P76" s="26" t="str">
        <f t="shared" si="9"/>
        <v/>
      </c>
      <c r="Q76" s="28">
        <f t="shared" si="16"/>
        <v>0</v>
      </c>
      <c r="R76" s="29" t="str">
        <f t="shared" si="17"/>
        <v/>
      </c>
    </row>
    <row r="77" spans="1:18">
      <c r="A77" s="20"/>
      <c r="B77" s="20"/>
      <c r="C77" s="21"/>
      <c r="D77" s="22"/>
      <c r="E77" s="23"/>
      <c r="F77" s="24"/>
      <c r="G77" s="25" t="str">
        <f t="shared" si="12"/>
        <v/>
      </c>
      <c r="H77" s="26" t="str">
        <f t="shared" si="3"/>
        <v/>
      </c>
      <c r="I77" s="26">
        <f t="shared" si="13"/>
        <v>0</v>
      </c>
      <c r="J77" s="26">
        <f t="shared" si="5"/>
        <v>0</v>
      </c>
      <c r="K77" s="22"/>
      <c r="L77" s="27" t="str">
        <f t="shared" si="14"/>
        <v/>
      </c>
      <c r="M77" s="24"/>
      <c r="N77" s="26">
        <f t="shared" si="7"/>
        <v>0</v>
      </c>
      <c r="O77" s="26" t="str">
        <f t="shared" si="15"/>
        <v/>
      </c>
      <c r="P77" s="26" t="str">
        <f t="shared" si="9"/>
        <v/>
      </c>
      <c r="Q77" s="28">
        <f t="shared" si="16"/>
        <v>0</v>
      </c>
      <c r="R77" s="29" t="str">
        <f t="shared" si="17"/>
        <v/>
      </c>
    </row>
    <row r="78" spans="1:18">
      <c r="A78" s="20"/>
      <c r="B78" s="20"/>
      <c r="C78" s="21"/>
      <c r="D78" s="22"/>
      <c r="E78" s="23"/>
      <c r="F78" s="24"/>
      <c r="G78" s="25" t="str">
        <f t="shared" si="12"/>
        <v/>
      </c>
      <c r="H78" s="26" t="str">
        <f t="shared" si="3"/>
        <v/>
      </c>
      <c r="I78" s="26">
        <f t="shared" si="13"/>
        <v>0</v>
      </c>
      <c r="J78" s="26">
        <f t="shared" si="5"/>
        <v>0</v>
      </c>
      <c r="K78" s="22"/>
      <c r="L78" s="27" t="str">
        <f t="shared" si="14"/>
        <v/>
      </c>
      <c r="M78" s="24"/>
      <c r="N78" s="26">
        <f t="shared" si="7"/>
        <v>0</v>
      </c>
      <c r="O78" s="26" t="str">
        <f t="shared" si="15"/>
        <v/>
      </c>
      <c r="P78" s="26" t="str">
        <f t="shared" si="9"/>
        <v/>
      </c>
      <c r="Q78" s="28">
        <f t="shared" si="16"/>
        <v>0</v>
      </c>
      <c r="R78" s="29" t="str">
        <f t="shared" si="17"/>
        <v/>
      </c>
    </row>
    <row r="79" spans="1:18">
      <c r="A79" s="20"/>
      <c r="B79" s="20"/>
      <c r="C79" s="21"/>
      <c r="D79" s="22"/>
      <c r="E79" s="23"/>
      <c r="F79" s="24"/>
      <c r="G79" s="25" t="str">
        <f t="shared" si="12"/>
        <v/>
      </c>
      <c r="H79" s="26" t="str">
        <f t="shared" si="3"/>
        <v/>
      </c>
      <c r="I79" s="26">
        <f t="shared" si="13"/>
        <v>0</v>
      </c>
      <c r="J79" s="26">
        <f t="shared" si="5"/>
        <v>0</v>
      </c>
      <c r="K79" s="22"/>
      <c r="L79" s="27" t="str">
        <f t="shared" si="14"/>
        <v/>
      </c>
      <c r="M79" s="24"/>
      <c r="N79" s="26">
        <f t="shared" si="7"/>
        <v>0</v>
      </c>
      <c r="O79" s="26" t="str">
        <f t="shared" si="15"/>
        <v/>
      </c>
      <c r="P79" s="26" t="str">
        <f t="shared" si="9"/>
        <v/>
      </c>
      <c r="Q79" s="28">
        <f t="shared" si="16"/>
        <v>0</v>
      </c>
      <c r="R79" s="29" t="str">
        <f t="shared" si="17"/>
        <v/>
      </c>
    </row>
    <row r="80" spans="1:18">
      <c r="A80" s="20"/>
      <c r="B80" s="20"/>
      <c r="C80" s="21"/>
      <c r="D80" s="22"/>
      <c r="E80" s="23"/>
      <c r="F80" s="24"/>
      <c r="G80" s="25" t="str">
        <f t="shared" si="12"/>
        <v/>
      </c>
      <c r="H80" s="26" t="str">
        <f t="shared" si="3"/>
        <v/>
      </c>
      <c r="I80" s="26">
        <f t="shared" si="13"/>
        <v>0</v>
      </c>
      <c r="J80" s="26">
        <f t="shared" si="5"/>
        <v>0</v>
      </c>
      <c r="K80" s="22"/>
      <c r="L80" s="27" t="str">
        <f t="shared" si="14"/>
        <v/>
      </c>
      <c r="M80" s="24"/>
      <c r="N80" s="26">
        <f t="shared" si="7"/>
        <v>0</v>
      </c>
      <c r="O80" s="26" t="str">
        <f t="shared" si="15"/>
        <v/>
      </c>
      <c r="P80" s="26" t="str">
        <f t="shared" si="9"/>
        <v/>
      </c>
      <c r="Q80" s="28">
        <f t="shared" si="16"/>
        <v>0</v>
      </c>
      <c r="R80" s="29" t="str">
        <f t="shared" si="17"/>
        <v/>
      </c>
    </row>
    <row r="81" spans="1:18">
      <c r="A81" s="20"/>
      <c r="B81" s="20"/>
      <c r="C81" s="21"/>
      <c r="D81" s="22"/>
      <c r="E81" s="23"/>
      <c r="F81" s="24"/>
      <c r="G81" s="25" t="str">
        <f t="shared" si="12"/>
        <v/>
      </c>
      <c r="H81" s="26" t="str">
        <f t="shared" si="3"/>
        <v/>
      </c>
      <c r="I81" s="26">
        <f t="shared" si="13"/>
        <v>0</v>
      </c>
      <c r="J81" s="26">
        <f t="shared" si="5"/>
        <v>0</v>
      </c>
      <c r="K81" s="22"/>
      <c r="L81" s="27" t="str">
        <f t="shared" si="14"/>
        <v/>
      </c>
      <c r="M81" s="24"/>
      <c r="N81" s="26">
        <f t="shared" si="7"/>
        <v>0</v>
      </c>
      <c r="O81" s="26" t="str">
        <f t="shared" si="15"/>
        <v/>
      </c>
      <c r="P81" s="26" t="str">
        <f t="shared" si="9"/>
        <v/>
      </c>
      <c r="Q81" s="28">
        <f t="shared" si="16"/>
        <v>0</v>
      </c>
      <c r="R81" s="29" t="str">
        <f t="shared" si="17"/>
        <v/>
      </c>
    </row>
    <row r="82" spans="1:18">
      <c r="A82" s="20"/>
      <c r="B82" s="20"/>
      <c r="C82" s="21"/>
      <c r="D82" s="22"/>
      <c r="E82" s="23"/>
      <c r="F82" s="24"/>
      <c r="G82" s="25" t="str">
        <f t="shared" si="12"/>
        <v/>
      </c>
      <c r="H82" s="26" t="str">
        <f t="shared" si="3"/>
        <v/>
      </c>
      <c r="I82" s="26">
        <f t="shared" si="13"/>
        <v>0</v>
      </c>
      <c r="J82" s="26">
        <f t="shared" si="5"/>
        <v>0</v>
      </c>
      <c r="K82" s="22"/>
      <c r="L82" s="27" t="str">
        <f t="shared" si="14"/>
        <v/>
      </c>
      <c r="M82" s="24"/>
      <c r="N82" s="26">
        <f t="shared" si="7"/>
        <v>0</v>
      </c>
      <c r="O82" s="26" t="str">
        <f t="shared" si="15"/>
        <v/>
      </c>
      <c r="P82" s="26" t="str">
        <f t="shared" si="9"/>
        <v/>
      </c>
      <c r="Q82" s="28">
        <f t="shared" si="16"/>
        <v>0</v>
      </c>
      <c r="R82" s="29" t="str">
        <f t="shared" si="17"/>
        <v/>
      </c>
    </row>
    <row r="83" spans="1:18">
      <c r="A83" s="20"/>
      <c r="B83" s="20"/>
      <c r="C83" s="21"/>
      <c r="D83" s="22"/>
      <c r="E83" s="23"/>
      <c r="F83" s="24"/>
      <c r="G83" s="25" t="str">
        <f t="shared" si="12"/>
        <v/>
      </c>
      <c r="H83" s="26" t="str">
        <f t="shared" si="3"/>
        <v/>
      </c>
      <c r="I83" s="26">
        <f t="shared" si="13"/>
        <v>0</v>
      </c>
      <c r="J83" s="26">
        <f t="shared" si="5"/>
        <v>0</v>
      </c>
      <c r="K83" s="22"/>
      <c r="L83" s="27" t="str">
        <f t="shared" si="14"/>
        <v/>
      </c>
      <c r="M83" s="24"/>
      <c r="N83" s="26">
        <f t="shared" si="7"/>
        <v>0</v>
      </c>
      <c r="O83" s="26" t="str">
        <f t="shared" si="15"/>
        <v/>
      </c>
      <c r="P83" s="26" t="str">
        <f t="shared" si="9"/>
        <v/>
      </c>
      <c r="Q83" s="28">
        <f t="shared" si="16"/>
        <v>0</v>
      </c>
      <c r="R83" s="29" t="str">
        <f t="shared" si="17"/>
        <v/>
      </c>
    </row>
    <row r="84" spans="1:18">
      <c r="A84" s="20"/>
      <c r="B84" s="20"/>
      <c r="C84" s="21"/>
      <c r="D84" s="22"/>
      <c r="E84" s="23"/>
      <c r="F84" s="24"/>
      <c r="G84" s="25" t="str">
        <f t="shared" si="12"/>
        <v/>
      </c>
      <c r="H84" s="26" t="str">
        <f t="shared" si="3"/>
        <v/>
      </c>
      <c r="I84" s="26">
        <f t="shared" si="13"/>
        <v>0</v>
      </c>
      <c r="J84" s="26">
        <f t="shared" si="5"/>
        <v>0</v>
      </c>
      <c r="K84" s="22"/>
      <c r="L84" s="27" t="str">
        <f t="shared" si="14"/>
        <v/>
      </c>
      <c r="M84" s="24"/>
      <c r="N84" s="26">
        <f t="shared" si="7"/>
        <v>0</v>
      </c>
      <c r="O84" s="26" t="str">
        <f t="shared" si="15"/>
        <v/>
      </c>
      <c r="P84" s="26" t="str">
        <f t="shared" si="9"/>
        <v/>
      </c>
      <c r="Q84" s="28">
        <f t="shared" si="16"/>
        <v>0</v>
      </c>
      <c r="R84" s="29" t="str">
        <f t="shared" si="17"/>
        <v/>
      </c>
    </row>
    <row r="85" spans="1:18">
      <c r="A85" s="20"/>
      <c r="B85" s="20"/>
      <c r="C85" s="21"/>
      <c r="D85" s="22"/>
      <c r="E85" s="23"/>
      <c r="F85" s="24"/>
      <c r="G85" s="25" t="str">
        <f t="shared" si="12"/>
        <v/>
      </c>
      <c r="H85" s="26" t="str">
        <f t="shared" si="3"/>
        <v/>
      </c>
      <c r="I85" s="26">
        <f t="shared" si="13"/>
        <v>0</v>
      </c>
      <c r="J85" s="26">
        <f t="shared" si="5"/>
        <v>0</v>
      </c>
      <c r="K85" s="22"/>
      <c r="L85" s="27" t="str">
        <f t="shared" si="14"/>
        <v/>
      </c>
      <c r="M85" s="24"/>
      <c r="N85" s="26">
        <f t="shared" si="7"/>
        <v>0</v>
      </c>
      <c r="O85" s="26" t="str">
        <f t="shared" si="15"/>
        <v/>
      </c>
      <c r="P85" s="26" t="str">
        <f t="shared" si="9"/>
        <v/>
      </c>
      <c r="Q85" s="28">
        <f t="shared" si="16"/>
        <v>0</v>
      </c>
      <c r="R85" s="29" t="str">
        <f t="shared" si="17"/>
        <v/>
      </c>
    </row>
    <row r="86" spans="1:18">
      <c r="A86" s="20"/>
      <c r="B86" s="20"/>
      <c r="C86" s="21"/>
      <c r="D86" s="22"/>
      <c r="E86" s="23"/>
      <c r="F86" s="24"/>
      <c r="G86" s="25" t="str">
        <f t="shared" si="12"/>
        <v/>
      </c>
      <c r="H86" s="26" t="str">
        <f t="shared" si="3"/>
        <v/>
      </c>
      <c r="I86" s="26">
        <f t="shared" si="13"/>
        <v>0</v>
      </c>
      <c r="J86" s="26">
        <f t="shared" si="5"/>
        <v>0</v>
      </c>
      <c r="K86" s="22"/>
      <c r="L86" s="27" t="str">
        <f t="shared" si="14"/>
        <v/>
      </c>
      <c r="M86" s="24"/>
      <c r="N86" s="26">
        <f t="shared" si="7"/>
        <v>0</v>
      </c>
      <c r="O86" s="26" t="str">
        <f t="shared" si="15"/>
        <v/>
      </c>
      <c r="P86" s="26" t="str">
        <f t="shared" si="9"/>
        <v/>
      </c>
      <c r="Q86" s="28">
        <f t="shared" si="16"/>
        <v>0</v>
      </c>
      <c r="R86" s="29" t="str">
        <f t="shared" si="17"/>
        <v/>
      </c>
    </row>
    <row r="87" spans="1:18">
      <c r="A87" s="20"/>
      <c r="B87" s="20"/>
      <c r="C87" s="21"/>
      <c r="D87" s="22"/>
      <c r="E87" s="23"/>
      <c r="F87" s="24"/>
      <c r="G87" s="25" t="str">
        <f t="shared" si="12"/>
        <v/>
      </c>
      <c r="H87" s="26" t="str">
        <f t="shared" si="3"/>
        <v/>
      </c>
      <c r="I87" s="26">
        <f t="shared" si="13"/>
        <v>0</v>
      </c>
      <c r="J87" s="26">
        <f t="shared" si="5"/>
        <v>0</v>
      </c>
      <c r="K87" s="22"/>
      <c r="L87" s="27" t="str">
        <f t="shared" si="14"/>
        <v/>
      </c>
      <c r="M87" s="24"/>
      <c r="N87" s="26">
        <f t="shared" si="7"/>
        <v>0</v>
      </c>
      <c r="O87" s="26" t="str">
        <f t="shared" si="15"/>
        <v/>
      </c>
      <c r="P87" s="26" t="str">
        <f t="shared" si="9"/>
        <v/>
      </c>
      <c r="Q87" s="28">
        <f t="shared" si="16"/>
        <v>0</v>
      </c>
      <c r="R87" s="29" t="str">
        <f t="shared" si="17"/>
        <v/>
      </c>
    </row>
    <row r="88" spans="1:18">
      <c r="A88" s="20"/>
      <c r="B88" s="20"/>
      <c r="C88" s="21"/>
      <c r="D88" s="22"/>
      <c r="E88" s="23"/>
      <c r="F88" s="24"/>
      <c r="G88" s="25" t="str">
        <f t="shared" si="12"/>
        <v/>
      </c>
      <c r="H88" s="26" t="str">
        <f t="shared" si="3"/>
        <v/>
      </c>
      <c r="I88" s="26">
        <f t="shared" si="13"/>
        <v>0</v>
      </c>
      <c r="J88" s="26">
        <f t="shared" si="5"/>
        <v>0</v>
      </c>
      <c r="K88" s="22"/>
      <c r="L88" s="27" t="str">
        <f t="shared" si="14"/>
        <v/>
      </c>
      <c r="M88" s="24"/>
      <c r="N88" s="26">
        <f t="shared" si="7"/>
        <v>0</v>
      </c>
      <c r="O88" s="26" t="str">
        <f t="shared" si="15"/>
        <v/>
      </c>
      <c r="P88" s="26" t="str">
        <f t="shared" si="9"/>
        <v/>
      </c>
      <c r="Q88" s="28">
        <f t="shared" si="16"/>
        <v>0</v>
      </c>
      <c r="R88" s="29" t="str">
        <f t="shared" si="17"/>
        <v/>
      </c>
    </row>
    <row r="89" spans="1:18">
      <c r="A89" s="20"/>
      <c r="B89" s="20"/>
      <c r="C89" s="21"/>
      <c r="D89" s="22"/>
      <c r="E89" s="23"/>
      <c r="F89" s="24"/>
      <c r="G89" s="25" t="str">
        <f t="shared" si="12"/>
        <v/>
      </c>
      <c r="H89" s="26" t="str">
        <f t="shared" si="3"/>
        <v/>
      </c>
      <c r="I89" s="26">
        <f t="shared" si="13"/>
        <v>0</v>
      </c>
      <c r="J89" s="26">
        <f t="shared" si="5"/>
        <v>0</v>
      </c>
      <c r="K89" s="22"/>
      <c r="L89" s="27" t="str">
        <f t="shared" si="14"/>
        <v/>
      </c>
      <c r="M89" s="24"/>
      <c r="N89" s="26">
        <f t="shared" si="7"/>
        <v>0</v>
      </c>
      <c r="O89" s="26" t="str">
        <f t="shared" si="15"/>
        <v/>
      </c>
      <c r="P89" s="26" t="str">
        <f t="shared" si="9"/>
        <v/>
      </c>
      <c r="Q89" s="28">
        <f t="shared" si="16"/>
        <v>0</v>
      </c>
      <c r="R89" s="29" t="str">
        <f t="shared" si="17"/>
        <v/>
      </c>
    </row>
    <row r="90" spans="1:18">
      <c r="A90" s="20"/>
      <c r="B90" s="20"/>
      <c r="C90" s="21"/>
      <c r="D90" s="22"/>
      <c r="E90" s="23"/>
      <c r="F90" s="24"/>
      <c r="G90" s="25" t="str">
        <f t="shared" si="12"/>
        <v/>
      </c>
      <c r="H90" s="26" t="str">
        <f t="shared" si="3"/>
        <v/>
      </c>
      <c r="I90" s="26">
        <f t="shared" si="13"/>
        <v>0</v>
      </c>
      <c r="J90" s="26">
        <f t="shared" si="5"/>
        <v>0</v>
      </c>
      <c r="K90" s="22"/>
      <c r="L90" s="27" t="str">
        <f t="shared" si="14"/>
        <v/>
      </c>
      <c r="M90" s="24"/>
      <c r="N90" s="26">
        <f t="shared" si="7"/>
        <v>0</v>
      </c>
      <c r="O90" s="26" t="str">
        <f t="shared" si="15"/>
        <v/>
      </c>
      <c r="P90" s="26" t="str">
        <f t="shared" si="9"/>
        <v/>
      </c>
      <c r="Q90" s="28">
        <f t="shared" si="16"/>
        <v>0</v>
      </c>
      <c r="R90" s="29" t="str">
        <f t="shared" si="17"/>
        <v/>
      </c>
    </row>
    <row r="91" spans="1:18">
      <c r="A91" s="20"/>
      <c r="B91" s="20"/>
      <c r="C91" s="21"/>
      <c r="D91" s="22"/>
      <c r="E91" s="23"/>
      <c r="F91" s="24"/>
      <c r="G91" s="25" t="str">
        <f t="shared" si="12"/>
        <v/>
      </c>
      <c r="H91" s="26" t="str">
        <f t="shared" si="3"/>
        <v/>
      </c>
      <c r="I91" s="26">
        <f t="shared" si="13"/>
        <v>0</v>
      </c>
      <c r="J91" s="26">
        <f t="shared" si="5"/>
        <v>0</v>
      </c>
      <c r="K91" s="22"/>
      <c r="L91" s="27" t="str">
        <f t="shared" si="14"/>
        <v/>
      </c>
      <c r="M91" s="24"/>
      <c r="N91" s="26">
        <f t="shared" si="7"/>
        <v>0</v>
      </c>
      <c r="O91" s="26" t="str">
        <f t="shared" si="15"/>
        <v/>
      </c>
      <c r="P91" s="26" t="str">
        <f t="shared" si="9"/>
        <v/>
      </c>
      <c r="Q91" s="28">
        <f t="shared" si="16"/>
        <v>0</v>
      </c>
      <c r="R91" s="29" t="str">
        <f t="shared" si="17"/>
        <v/>
      </c>
    </row>
    <row r="92" spans="1:18">
      <c r="A92" s="20"/>
      <c r="B92" s="20"/>
      <c r="C92" s="21"/>
      <c r="D92" s="22"/>
      <c r="E92" s="23"/>
      <c r="F92" s="24"/>
      <c r="G92" s="25" t="str">
        <f t="shared" si="12"/>
        <v/>
      </c>
      <c r="H92" s="26" t="str">
        <f t="shared" si="3"/>
        <v/>
      </c>
      <c r="I92" s="26">
        <f t="shared" si="13"/>
        <v>0</v>
      </c>
      <c r="J92" s="26">
        <f t="shared" si="5"/>
        <v>0</v>
      </c>
      <c r="K92" s="22"/>
      <c r="L92" s="27" t="str">
        <f t="shared" si="14"/>
        <v/>
      </c>
      <c r="M92" s="24"/>
      <c r="N92" s="26">
        <f t="shared" si="7"/>
        <v>0</v>
      </c>
      <c r="O92" s="26" t="str">
        <f t="shared" si="15"/>
        <v/>
      </c>
      <c r="P92" s="26" t="str">
        <f t="shared" si="9"/>
        <v/>
      </c>
      <c r="Q92" s="28">
        <f t="shared" si="16"/>
        <v>0</v>
      </c>
      <c r="R92" s="29" t="str">
        <f t="shared" si="17"/>
        <v/>
      </c>
    </row>
    <row r="93" spans="1:18">
      <c r="A93" s="20"/>
      <c r="B93" s="20"/>
      <c r="C93" s="21"/>
      <c r="D93" s="22"/>
      <c r="E93" s="23"/>
      <c r="F93" s="24"/>
      <c r="G93" s="25" t="str">
        <f t="shared" si="12"/>
        <v/>
      </c>
      <c r="H93" s="26" t="str">
        <f t="shared" si="3"/>
        <v/>
      </c>
      <c r="I93" s="26">
        <f t="shared" si="13"/>
        <v>0</v>
      </c>
      <c r="J93" s="26">
        <f t="shared" si="5"/>
        <v>0</v>
      </c>
      <c r="K93" s="22"/>
      <c r="L93" s="27" t="str">
        <f t="shared" si="14"/>
        <v/>
      </c>
      <c r="M93" s="24"/>
      <c r="N93" s="26">
        <f t="shared" si="7"/>
        <v>0</v>
      </c>
      <c r="O93" s="26" t="str">
        <f t="shared" si="15"/>
        <v/>
      </c>
      <c r="P93" s="26" t="str">
        <f t="shared" si="9"/>
        <v/>
      </c>
      <c r="Q93" s="28">
        <f t="shared" si="16"/>
        <v>0</v>
      </c>
      <c r="R93" s="29" t="str">
        <f t="shared" si="17"/>
        <v/>
      </c>
    </row>
    <row r="94" spans="1:18">
      <c r="A94" s="20"/>
      <c r="B94" s="20"/>
      <c r="C94" s="21"/>
      <c r="D94" s="22"/>
      <c r="E94" s="23"/>
      <c r="F94" s="24"/>
      <c r="G94" s="25" t="str">
        <f t="shared" si="12"/>
        <v/>
      </c>
      <c r="H94" s="26" t="str">
        <f t="shared" si="3"/>
        <v/>
      </c>
      <c r="I94" s="26">
        <f t="shared" si="13"/>
        <v>0</v>
      </c>
      <c r="J94" s="26">
        <f t="shared" si="5"/>
        <v>0</v>
      </c>
      <c r="K94" s="22"/>
      <c r="L94" s="27" t="str">
        <f t="shared" si="14"/>
        <v/>
      </c>
      <c r="M94" s="24"/>
      <c r="N94" s="26">
        <f t="shared" si="7"/>
        <v>0</v>
      </c>
      <c r="O94" s="26" t="str">
        <f t="shared" si="15"/>
        <v/>
      </c>
      <c r="P94" s="26" t="str">
        <f t="shared" si="9"/>
        <v/>
      </c>
      <c r="Q94" s="28">
        <f t="shared" si="16"/>
        <v>0</v>
      </c>
      <c r="R94" s="29" t="str">
        <f t="shared" si="17"/>
        <v/>
      </c>
    </row>
    <row r="95" spans="1:18">
      <c r="A95" s="20"/>
      <c r="B95" s="20"/>
      <c r="C95" s="21"/>
      <c r="D95" s="22"/>
      <c r="E95" s="23"/>
      <c r="F95" s="24"/>
      <c r="G95" s="25" t="str">
        <f t="shared" si="12"/>
        <v/>
      </c>
      <c r="H95" s="26" t="str">
        <f t="shared" si="3"/>
        <v/>
      </c>
      <c r="I95" s="26">
        <f t="shared" si="13"/>
        <v>0</v>
      </c>
      <c r="J95" s="26">
        <f t="shared" si="5"/>
        <v>0</v>
      </c>
      <c r="K95" s="22"/>
      <c r="L95" s="27" t="str">
        <f t="shared" si="14"/>
        <v/>
      </c>
      <c r="M95" s="24"/>
      <c r="N95" s="26">
        <f t="shared" si="7"/>
        <v>0</v>
      </c>
      <c r="O95" s="26" t="str">
        <f t="shared" si="15"/>
        <v/>
      </c>
      <c r="P95" s="26" t="str">
        <f t="shared" si="9"/>
        <v/>
      </c>
      <c r="Q95" s="28">
        <f t="shared" si="16"/>
        <v>0</v>
      </c>
      <c r="R95" s="29" t="str">
        <f t="shared" si="17"/>
        <v/>
      </c>
    </row>
    <row r="96" spans="1:18">
      <c r="A96" s="20"/>
      <c r="B96" s="20"/>
      <c r="C96" s="21"/>
      <c r="D96" s="22"/>
      <c r="E96" s="23"/>
      <c r="F96" s="24"/>
      <c r="G96" s="25" t="str">
        <f t="shared" si="12"/>
        <v/>
      </c>
      <c r="H96" s="26" t="str">
        <f t="shared" si="3"/>
        <v/>
      </c>
      <c r="I96" s="26">
        <f t="shared" si="13"/>
        <v>0</v>
      </c>
      <c r="J96" s="26">
        <f t="shared" si="5"/>
        <v>0</v>
      </c>
      <c r="K96" s="22"/>
      <c r="L96" s="27" t="str">
        <f t="shared" si="14"/>
        <v/>
      </c>
      <c r="M96" s="24"/>
      <c r="N96" s="26">
        <f t="shared" si="7"/>
        <v>0</v>
      </c>
      <c r="O96" s="26" t="str">
        <f t="shared" si="15"/>
        <v/>
      </c>
      <c r="P96" s="26" t="str">
        <f t="shared" si="9"/>
        <v/>
      </c>
      <c r="Q96" s="28">
        <f t="shared" si="16"/>
        <v>0</v>
      </c>
      <c r="R96" s="29" t="str">
        <f t="shared" si="17"/>
        <v/>
      </c>
    </row>
    <row r="97" spans="1:18">
      <c r="A97" s="20"/>
      <c r="B97" s="20"/>
      <c r="C97" s="21"/>
      <c r="D97" s="22"/>
      <c r="E97" s="23"/>
      <c r="F97" s="24"/>
      <c r="G97" s="25" t="str">
        <f t="shared" si="12"/>
        <v/>
      </c>
      <c r="H97" s="26" t="str">
        <f t="shared" si="3"/>
        <v/>
      </c>
      <c r="I97" s="26">
        <f t="shared" si="13"/>
        <v>0</v>
      </c>
      <c r="J97" s="26">
        <f t="shared" si="5"/>
        <v>0</v>
      </c>
      <c r="K97" s="22"/>
      <c r="L97" s="27" t="str">
        <f t="shared" si="14"/>
        <v/>
      </c>
      <c r="M97" s="24"/>
      <c r="N97" s="26">
        <f t="shared" si="7"/>
        <v>0</v>
      </c>
      <c r="O97" s="26" t="str">
        <f t="shared" si="15"/>
        <v/>
      </c>
      <c r="P97" s="26" t="str">
        <f t="shared" si="9"/>
        <v/>
      </c>
      <c r="Q97" s="28">
        <f t="shared" si="16"/>
        <v>0</v>
      </c>
      <c r="R97" s="29" t="str">
        <f t="shared" si="17"/>
        <v/>
      </c>
    </row>
    <row r="98" spans="1:18">
      <c r="A98" s="20"/>
      <c r="B98" s="20"/>
      <c r="C98" s="21"/>
      <c r="D98" s="22"/>
      <c r="E98" s="23"/>
      <c r="F98" s="24"/>
      <c r="G98" s="25" t="str">
        <f t="shared" si="12"/>
        <v/>
      </c>
      <c r="H98" s="26" t="str">
        <f t="shared" si="3"/>
        <v/>
      </c>
      <c r="I98" s="26">
        <f t="shared" si="13"/>
        <v>0</v>
      </c>
      <c r="J98" s="26">
        <f t="shared" si="5"/>
        <v>0</v>
      </c>
      <c r="K98" s="22"/>
      <c r="L98" s="27" t="str">
        <f t="shared" si="14"/>
        <v/>
      </c>
      <c r="M98" s="24"/>
      <c r="N98" s="26">
        <f t="shared" si="7"/>
        <v>0</v>
      </c>
      <c r="O98" s="26" t="str">
        <f t="shared" si="15"/>
        <v/>
      </c>
      <c r="P98" s="26" t="str">
        <f t="shared" si="9"/>
        <v/>
      </c>
      <c r="Q98" s="28">
        <f t="shared" si="16"/>
        <v>0</v>
      </c>
      <c r="R98" s="29" t="str">
        <f t="shared" si="17"/>
        <v/>
      </c>
    </row>
    <row r="99" spans="1:18">
      <c r="A99" s="20"/>
      <c r="B99" s="20"/>
      <c r="C99" s="21"/>
      <c r="D99" s="22"/>
      <c r="E99" s="23"/>
      <c r="F99" s="24"/>
      <c r="G99" s="25" t="str">
        <f t="shared" si="12"/>
        <v/>
      </c>
      <c r="H99" s="26" t="str">
        <f t="shared" si="3"/>
        <v/>
      </c>
      <c r="I99" s="26">
        <f t="shared" si="13"/>
        <v>0</v>
      </c>
      <c r="J99" s="26">
        <f t="shared" si="5"/>
        <v>0</v>
      </c>
      <c r="K99" s="22"/>
      <c r="L99" s="27" t="str">
        <f t="shared" si="14"/>
        <v/>
      </c>
      <c r="M99" s="24"/>
      <c r="N99" s="26">
        <f t="shared" si="7"/>
        <v>0</v>
      </c>
      <c r="O99" s="26" t="str">
        <f t="shared" si="15"/>
        <v/>
      </c>
      <c r="P99" s="26" t="str">
        <f t="shared" si="9"/>
        <v/>
      </c>
      <c r="Q99" s="28">
        <f t="shared" si="16"/>
        <v>0</v>
      </c>
      <c r="R99" s="29" t="str">
        <f t="shared" si="17"/>
        <v/>
      </c>
    </row>
    <row r="100" spans="1:18">
      <c r="A100" s="20"/>
      <c r="B100" s="20"/>
      <c r="C100" s="21"/>
      <c r="D100" s="22"/>
      <c r="E100" s="23"/>
      <c r="F100" s="24"/>
      <c r="G100" s="25" t="str">
        <f t="shared" si="12"/>
        <v/>
      </c>
      <c r="H100" s="26" t="str">
        <f t="shared" si="3"/>
        <v/>
      </c>
      <c r="I100" s="26">
        <f t="shared" si="13"/>
        <v>0</v>
      </c>
      <c r="J100" s="26">
        <f t="shared" si="5"/>
        <v>0</v>
      </c>
      <c r="K100" s="22"/>
      <c r="L100" s="27" t="str">
        <f t="shared" si="14"/>
        <v/>
      </c>
      <c r="M100" s="24"/>
      <c r="N100" s="26">
        <f t="shared" si="7"/>
        <v>0</v>
      </c>
      <c r="O100" s="26" t="str">
        <f t="shared" si="15"/>
        <v/>
      </c>
      <c r="P100" s="26" t="str">
        <f t="shared" si="9"/>
        <v/>
      </c>
      <c r="Q100" s="28">
        <f t="shared" si="16"/>
        <v>0</v>
      </c>
      <c r="R100" s="29" t="str">
        <f t="shared" si="17"/>
        <v/>
      </c>
    </row>
    <row r="101" spans="1:18">
      <c r="A101" s="20"/>
      <c r="B101" s="20"/>
      <c r="C101" s="21"/>
      <c r="D101" s="22"/>
      <c r="E101" s="23"/>
      <c r="F101" s="24"/>
      <c r="G101" s="25" t="str">
        <f t="shared" si="12"/>
        <v/>
      </c>
      <c r="H101" s="26" t="str">
        <f t="shared" si="3"/>
        <v/>
      </c>
      <c r="I101" s="26">
        <f t="shared" si="13"/>
        <v>0</v>
      </c>
      <c r="J101" s="26">
        <f t="shared" si="5"/>
        <v>0</v>
      </c>
      <c r="K101" s="22"/>
      <c r="L101" s="27" t="str">
        <f t="shared" si="14"/>
        <v/>
      </c>
      <c r="M101" s="24"/>
      <c r="N101" s="26">
        <f t="shared" si="7"/>
        <v>0</v>
      </c>
      <c r="O101" s="26" t="str">
        <f t="shared" si="15"/>
        <v/>
      </c>
      <c r="P101" s="26" t="str">
        <f t="shared" si="9"/>
        <v/>
      </c>
      <c r="Q101" s="28">
        <f t="shared" si="16"/>
        <v>0</v>
      </c>
      <c r="R101" s="29" t="str">
        <f t="shared" si="17"/>
        <v/>
      </c>
    </row>
    <row r="102" spans="1:18">
      <c r="A102" s="20"/>
      <c r="B102" s="20"/>
      <c r="C102" s="21"/>
      <c r="D102" s="22"/>
      <c r="E102" s="23"/>
      <c r="F102" s="24"/>
      <c r="G102" s="25" t="str">
        <f t="shared" si="12"/>
        <v/>
      </c>
      <c r="H102" s="26" t="str">
        <f t="shared" si="3"/>
        <v/>
      </c>
      <c r="I102" s="26">
        <f t="shared" si="13"/>
        <v>0</v>
      </c>
      <c r="J102" s="26">
        <f t="shared" si="5"/>
        <v>0</v>
      </c>
      <c r="K102" s="22"/>
      <c r="L102" s="27" t="str">
        <f t="shared" si="14"/>
        <v/>
      </c>
      <c r="M102" s="24"/>
      <c r="N102" s="26">
        <f t="shared" si="7"/>
        <v>0</v>
      </c>
      <c r="O102" s="26" t="str">
        <f t="shared" si="15"/>
        <v/>
      </c>
      <c r="P102" s="26" t="str">
        <f t="shared" si="9"/>
        <v/>
      </c>
      <c r="Q102" s="28">
        <f t="shared" si="16"/>
        <v>0</v>
      </c>
      <c r="R102" s="29" t="str">
        <f t="shared" si="17"/>
        <v/>
      </c>
    </row>
    <row r="103" spans="1:18">
      <c r="A103" s="20"/>
      <c r="B103" s="20"/>
      <c r="C103" s="21"/>
      <c r="D103" s="22"/>
      <c r="E103" s="23"/>
      <c r="F103" s="24"/>
      <c r="G103" s="25" t="str">
        <f t="shared" si="12"/>
        <v/>
      </c>
      <c r="H103" s="26" t="str">
        <f t="shared" si="3"/>
        <v/>
      </c>
      <c r="I103" s="26">
        <f t="shared" si="13"/>
        <v>0</v>
      </c>
      <c r="J103" s="26">
        <f t="shared" si="5"/>
        <v>0</v>
      </c>
      <c r="K103" s="22"/>
      <c r="L103" s="27" t="str">
        <f t="shared" si="14"/>
        <v/>
      </c>
      <c r="M103" s="24"/>
      <c r="N103" s="26">
        <f t="shared" si="7"/>
        <v>0</v>
      </c>
      <c r="O103" s="26" t="str">
        <f t="shared" si="15"/>
        <v/>
      </c>
      <c r="P103" s="26" t="str">
        <f t="shared" si="9"/>
        <v/>
      </c>
      <c r="Q103" s="28">
        <f t="shared" si="16"/>
        <v>0</v>
      </c>
      <c r="R103" s="29" t="str">
        <f t="shared" si="17"/>
        <v/>
      </c>
    </row>
    <row r="104" spans="1:18">
      <c r="A104" s="20"/>
      <c r="B104" s="20"/>
      <c r="C104" s="21"/>
      <c r="D104" s="22"/>
      <c r="E104" s="23"/>
      <c r="F104" s="24"/>
      <c r="G104" s="25" t="str">
        <f t="shared" si="12"/>
        <v/>
      </c>
      <c r="H104" s="26" t="str">
        <f t="shared" si="3"/>
        <v/>
      </c>
      <c r="I104" s="26">
        <f t="shared" si="13"/>
        <v>0</v>
      </c>
      <c r="J104" s="26">
        <f t="shared" si="5"/>
        <v>0</v>
      </c>
      <c r="K104" s="22"/>
      <c r="L104" s="27" t="str">
        <f t="shared" si="14"/>
        <v/>
      </c>
      <c r="M104" s="24"/>
      <c r="N104" s="26">
        <f t="shared" si="7"/>
        <v>0</v>
      </c>
      <c r="O104" s="26" t="str">
        <f t="shared" si="15"/>
        <v/>
      </c>
      <c r="P104" s="26" t="str">
        <f t="shared" si="9"/>
        <v/>
      </c>
      <c r="Q104" s="28">
        <f t="shared" si="16"/>
        <v>0</v>
      </c>
      <c r="R104" s="29" t="str">
        <f t="shared" si="17"/>
        <v/>
      </c>
    </row>
    <row r="105" spans="1:18">
      <c r="A105" s="20"/>
      <c r="B105" s="20"/>
      <c r="C105" s="21"/>
      <c r="D105" s="22"/>
      <c r="E105" s="23"/>
      <c r="F105" s="24"/>
      <c r="G105" s="25" t="str">
        <f t="shared" si="12"/>
        <v/>
      </c>
      <c r="H105" s="26" t="str">
        <f t="shared" si="3"/>
        <v/>
      </c>
      <c r="I105" s="26">
        <f t="shared" si="13"/>
        <v>0</v>
      </c>
      <c r="J105" s="26">
        <f t="shared" si="5"/>
        <v>0</v>
      </c>
      <c r="K105" s="22"/>
      <c r="L105" s="27" t="str">
        <f t="shared" si="14"/>
        <v/>
      </c>
      <c r="M105" s="24"/>
      <c r="N105" s="26">
        <f t="shared" si="7"/>
        <v>0</v>
      </c>
      <c r="O105" s="26" t="str">
        <f t="shared" si="15"/>
        <v/>
      </c>
      <c r="P105" s="26" t="str">
        <f t="shared" si="9"/>
        <v/>
      </c>
      <c r="Q105" s="28">
        <f t="shared" si="16"/>
        <v>0</v>
      </c>
      <c r="R105" s="29" t="str">
        <f t="shared" si="17"/>
        <v/>
      </c>
    </row>
    <row r="106" spans="1:18">
      <c r="A106" s="20"/>
      <c r="B106" s="20"/>
      <c r="C106" s="21"/>
      <c r="D106" s="22"/>
      <c r="E106" s="23"/>
      <c r="F106" s="24"/>
      <c r="G106" s="25" t="str">
        <f t="shared" si="12"/>
        <v/>
      </c>
      <c r="H106" s="26" t="str">
        <f t="shared" si="3"/>
        <v/>
      </c>
      <c r="I106" s="26">
        <f t="shared" si="13"/>
        <v>0</v>
      </c>
      <c r="J106" s="26">
        <f t="shared" si="5"/>
        <v>0</v>
      </c>
      <c r="K106" s="22"/>
      <c r="L106" s="27" t="str">
        <f t="shared" si="14"/>
        <v/>
      </c>
      <c r="M106" s="24"/>
      <c r="N106" s="26">
        <f t="shared" si="7"/>
        <v>0</v>
      </c>
      <c r="O106" s="26" t="str">
        <f t="shared" si="15"/>
        <v/>
      </c>
      <c r="P106" s="26" t="str">
        <f t="shared" si="9"/>
        <v/>
      </c>
      <c r="Q106" s="28">
        <f t="shared" si="16"/>
        <v>0</v>
      </c>
      <c r="R106" s="29" t="str">
        <f t="shared" si="17"/>
        <v/>
      </c>
    </row>
    <row r="107" spans="1:18">
      <c r="A107" s="20"/>
      <c r="B107" s="20"/>
      <c r="C107" s="21"/>
      <c r="D107" s="22"/>
      <c r="E107" s="23"/>
      <c r="F107" s="24"/>
      <c r="G107" s="25" t="str">
        <f t="shared" si="12"/>
        <v/>
      </c>
      <c r="H107" s="26" t="str">
        <f t="shared" si="3"/>
        <v/>
      </c>
      <c r="I107" s="26">
        <f t="shared" si="13"/>
        <v>0</v>
      </c>
      <c r="J107" s="26">
        <f t="shared" si="5"/>
        <v>0</v>
      </c>
      <c r="K107" s="22"/>
      <c r="L107" s="27" t="str">
        <f t="shared" si="14"/>
        <v/>
      </c>
      <c r="M107" s="24"/>
      <c r="N107" s="26">
        <f t="shared" si="7"/>
        <v>0</v>
      </c>
      <c r="O107" s="26" t="str">
        <f t="shared" si="15"/>
        <v/>
      </c>
      <c r="P107" s="26" t="str">
        <f t="shared" si="9"/>
        <v/>
      </c>
      <c r="Q107" s="28">
        <f t="shared" si="16"/>
        <v>0</v>
      </c>
      <c r="R107" s="29" t="str">
        <f t="shared" si="17"/>
        <v/>
      </c>
    </row>
    <row r="108" spans="1:18">
      <c r="A108" s="20"/>
      <c r="B108" s="20"/>
      <c r="C108" s="21"/>
      <c r="D108" s="22"/>
      <c r="E108" s="23"/>
      <c r="F108" s="24"/>
      <c r="G108" s="25" t="str">
        <f t="shared" si="12"/>
        <v/>
      </c>
      <c r="H108" s="26" t="str">
        <f t="shared" ref="H108:H171" si="18">IF(F108="","",IF(OR($C108="USDC",$C108="USDT"),F108*$R$34,F108))</f>
        <v/>
      </c>
      <c r="I108" s="26">
        <f t="shared" si="13"/>
        <v>0</v>
      </c>
      <c r="J108" s="26">
        <f t="shared" ref="J108:J171" si="19">IF(OR($C108="USDC",$C108="USDT"),I108*$R$34,I108)</f>
        <v>0</v>
      </c>
      <c r="K108" s="22"/>
      <c r="L108" s="27" t="str">
        <f t="shared" si="14"/>
        <v/>
      </c>
      <c r="M108" s="24"/>
      <c r="N108" s="26">
        <f t="shared" ref="N108:N171" si="20">IF(OR($C108="USDC",$C108="USDT"),M108*$R$34,M108)</f>
        <v>0</v>
      </c>
      <c r="O108" s="26" t="str">
        <f t="shared" si="15"/>
        <v/>
      </c>
      <c r="P108" s="26" t="str">
        <f t="shared" ref="P108:P171" si="21">IF(O108="","",IF(OR($C108="USDC",$C108="USDT"),O108*$R$34,O108))</f>
        <v/>
      </c>
      <c r="Q108" s="28">
        <f t="shared" si="16"/>
        <v>0</v>
      </c>
      <c r="R108" s="29" t="str">
        <f t="shared" si="17"/>
        <v/>
      </c>
    </row>
    <row r="109" spans="1:18">
      <c r="A109" s="20"/>
      <c r="B109" s="20"/>
      <c r="C109" s="21"/>
      <c r="D109" s="22"/>
      <c r="E109" s="23"/>
      <c r="F109" s="24"/>
      <c r="G109" s="25" t="str">
        <f t="shared" ref="G109:G173" si="22">IF(E109&lt;&gt;"",E109*0.1%,"")</f>
        <v/>
      </c>
      <c r="H109" s="26" t="str">
        <f t="shared" si="18"/>
        <v/>
      </c>
      <c r="I109" s="26">
        <f t="shared" ref="I109:I173" si="23">F109*E109</f>
        <v>0</v>
      </c>
      <c r="J109" s="26">
        <f t="shared" si="19"/>
        <v>0</v>
      </c>
      <c r="K109" s="22"/>
      <c r="L109" s="27" t="str">
        <f t="shared" ref="L109:L173" si="24">IF(E109="","",E109-G109)</f>
        <v/>
      </c>
      <c r="M109" s="24"/>
      <c r="N109" s="26">
        <f t="shared" si="20"/>
        <v>0</v>
      </c>
      <c r="O109" s="26" t="str">
        <f t="shared" ref="O109:O173" si="25">IF(M109&lt;&gt;"",M109*(E109-G109),"")</f>
        <v/>
      </c>
      <c r="P109" s="26" t="str">
        <f t="shared" si="21"/>
        <v/>
      </c>
      <c r="Q109" s="28">
        <f t="shared" ref="Q109:Q173" si="26">IF(M109&lt;&gt;"",P109-J109,0)</f>
        <v>0</v>
      </c>
      <c r="R109" s="29" t="str">
        <f t="shared" ref="R109:R173" si="27">IF(J109&gt;0,Q109/J109,"")</f>
        <v/>
      </c>
    </row>
    <row r="110" spans="1:18">
      <c r="A110" s="20"/>
      <c r="B110" s="20"/>
      <c r="C110" s="21"/>
      <c r="D110" s="22"/>
      <c r="E110" s="23"/>
      <c r="F110" s="24"/>
      <c r="G110" s="25" t="str">
        <f t="shared" ref="G110:G167" si="28">IF(E110&lt;&gt;"",E110*0.1%,"")</f>
        <v/>
      </c>
      <c r="H110" s="26" t="str">
        <f t="shared" si="18"/>
        <v/>
      </c>
      <c r="I110" s="26">
        <f t="shared" ref="I110:I167" si="29">F110*E110</f>
        <v>0</v>
      </c>
      <c r="J110" s="26">
        <f t="shared" si="19"/>
        <v>0</v>
      </c>
      <c r="K110" s="22"/>
      <c r="L110" s="27" t="str">
        <f t="shared" ref="L110:L167" si="30">IF(E110="","",E110-G110)</f>
        <v/>
      </c>
      <c r="M110" s="24"/>
      <c r="N110" s="26">
        <f t="shared" si="20"/>
        <v>0</v>
      </c>
      <c r="O110" s="26" t="str">
        <f t="shared" ref="O110:O167" si="31">IF(M110&lt;&gt;"",M110*(E110-G110),"")</f>
        <v/>
      </c>
      <c r="P110" s="26" t="str">
        <f t="shared" si="21"/>
        <v/>
      </c>
      <c r="Q110" s="28">
        <f t="shared" ref="Q110:Q167" si="32">IF(M110&lt;&gt;"",P110-J110,0)</f>
        <v>0</v>
      </c>
      <c r="R110" s="29" t="str">
        <f t="shared" ref="R110:R167" si="33">IF(J110&gt;0,Q110/J110,"")</f>
        <v/>
      </c>
    </row>
    <row r="111" spans="1:18">
      <c r="A111" s="20"/>
      <c r="B111" s="20"/>
      <c r="C111" s="21"/>
      <c r="D111" s="22"/>
      <c r="E111" s="23"/>
      <c r="F111" s="24"/>
      <c r="G111" s="25" t="str">
        <f t="shared" si="28"/>
        <v/>
      </c>
      <c r="H111" s="26" t="str">
        <f t="shared" si="18"/>
        <v/>
      </c>
      <c r="I111" s="26">
        <f t="shared" si="29"/>
        <v>0</v>
      </c>
      <c r="J111" s="26">
        <f t="shared" si="19"/>
        <v>0</v>
      </c>
      <c r="K111" s="22"/>
      <c r="L111" s="27" t="str">
        <f t="shared" si="30"/>
        <v/>
      </c>
      <c r="M111" s="24"/>
      <c r="N111" s="26">
        <f t="shared" si="20"/>
        <v>0</v>
      </c>
      <c r="O111" s="26" t="str">
        <f t="shared" si="31"/>
        <v/>
      </c>
      <c r="P111" s="26" t="str">
        <f t="shared" si="21"/>
        <v/>
      </c>
      <c r="Q111" s="28">
        <f t="shared" si="32"/>
        <v>0</v>
      </c>
      <c r="R111" s="29" t="str">
        <f t="shared" si="33"/>
        <v/>
      </c>
    </row>
    <row r="112" spans="1:18">
      <c r="A112" s="20"/>
      <c r="B112" s="20"/>
      <c r="C112" s="21"/>
      <c r="D112" s="22"/>
      <c r="E112" s="23"/>
      <c r="F112" s="24"/>
      <c r="G112" s="25" t="str">
        <f t="shared" si="28"/>
        <v/>
      </c>
      <c r="H112" s="26" t="str">
        <f t="shared" si="18"/>
        <v/>
      </c>
      <c r="I112" s="26">
        <f t="shared" si="29"/>
        <v>0</v>
      </c>
      <c r="J112" s="26">
        <f t="shared" si="19"/>
        <v>0</v>
      </c>
      <c r="K112" s="22"/>
      <c r="L112" s="27" t="str">
        <f t="shared" si="30"/>
        <v/>
      </c>
      <c r="M112" s="24"/>
      <c r="N112" s="26">
        <f t="shared" si="20"/>
        <v>0</v>
      </c>
      <c r="O112" s="26" t="str">
        <f t="shared" si="31"/>
        <v/>
      </c>
      <c r="P112" s="26" t="str">
        <f t="shared" si="21"/>
        <v/>
      </c>
      <c r="Q112" s="28">
        <f t="shared" si="32"/>
        <v>0</v>
      </c>
      <c r="R112" s="29" t="str">
        <f t="shared" si="33"/>
        <v/>
      </c>
    </row>
    <row r="113" spans="1:18">
      <c r="A113" s="20"/>
      <c r="B113" s="20"/>
      <c r="C113" s="21"/>
      <c r="D113" s="22"/>
      <c r="E113" s="23"/>
      <c r="F113" s="24"/>
      <c r="G113" s="25" t="str">
        <f t="shared" si="28"/>
        <v/>
      </c>
      <c r="H113" s="26" t="str">
        <f t="shared" si="18"/>
        <v/>
      </c>
      <c r="I113" s="26">
        <f t="shared" si="29"/>
        <v>0</v>
      </c>
      <c r="J113" s="26">
        <f t="shared" si="19"/>
        <v>0</v>
      </c>
      <c r="K113" s="22"/>
      <c r="L113" s="27" t="str">
        <f t="shared" si="30"/>
        <v/>
      </c>
      <c r="M113" s="24"/>
      <c r="N113" s="26">
        <f t="shared" si="20"/>
        <v>0</v>
      </c>
      <c r="O113" s="26" t="str">
        <f t="shared" si="31"/>
        <v/>
      </c>
      <c r="P113" s="26" t="str">
        <f t="shared" si="21"/>
        <v/>
      </c>
      <c r="Q113" s="28">
        <f t="shared" si="32"/>
        <v>0</v>
      </c>
      <c r="R113" s="29" t="str">
        <f t="shared" si="33"/>
        <v/>
      </c>
    </row>
    <row r="114" spans="1:18">
      <c r="A114" s="20"/>
      <c r="B114" s="20"/>
      <c r="C114" s="21"/>
      <c r="D114" s="22"/>
      <c r="E114" s="23"/>
      <c r="F114" s="24"/>
      <c r="G114" s="25" t="str">
        <f t="shared" si="28"/>
        <v/>
      </c>
      <c r="H114" s="26" t="str">
        <f t="shared" si="18"/>
        <v/>
      </c>
      <c r="I114" s="26">
        <f t="shared" si="29"/>
        <v>0</v>
      </c>
      <c r="J114" s="26">
        <f t="shared" si="19"/>
        <v>0</v>
      </c>
      <c r="K114" s="22"/>
      <c r="L114" s="27" t="str">
        <f t="shared" si="30"/>
        <v/>
      </c>
      <c r="M114" s="24"/>
      <c r="N114" s="26">
        <f t="shared" si="20"/>
        <v>0</v>
      </c>
      <c r="O114" s="26" t="str">
        <f t="shared" si="31"/>
        <v/>
      </c>
      <c r="P114" s="26" t="str">
        <f t="shared" si="21"/>
        <v/>
      </c>
      <c r="Q114" s="28">
        <f t="shared" si="32"/>
        <v>0</v>
      </c>
      <c r="R114" s="29" t="str">
        <f t="shared" si="33"/>
        <v/>
      </c>
    </row>
    <row r="115" spans="1:18">
      <c r="A115" s="20"/>
      <c r="B115" s="20"/>
      <c r="C115" s="21"/>
      <c r="D115" s="22"/>
      <c r="E115" s="23"/>
      <c r="F115" s="24"/>
      <c r="G115" s="25" t="str">
        <f t="shared" si="28"/>
        <v/>
      </c>
      <c r="H115" s="26" t="str">
        <f t="shared" si="18"/>
        <v/>
      </c>
      <c r="I115" s="26">
        <f t="shared" si="29"/>
        <v>0</v>
      </c>
      <c r="J115" s="26">
        <f t="shared" si="19"/>
        <v>0</v>
      </c>
      <c r="K115" s="22"/>
      <c r="L115" s="27" t="str">
        <f t="shared" si="30"/>
        <v/>
      </c>
      <c r="M115" s="24"/>
      <c r="N115" s="26">
        <f t="shared" si="20"/>
        <v>0</v>
      </c>
      <c r="O115" s="26" t="str">
        <f t="shared" si="31"/>
        <v/>
      </c>
      <c r="P115" s="26" t="str">
        <f t="shared" si="21"/>
        <v/>
      </c>
      <c r="Q115" s="28">
        <f t="shared" si="32"/>
        <v>0</v>
      </c>
      <c r="R115" s="29" t="str">
        <f t="shared" si="33"/>
        <v/>
      </c>
    </row>
    <row r="116" spans="1:18">
      <c r="A116" s="20"/>
      <c r="B116" s="20"/>
      <c r="C116" s="21"/>
      <c r="D116" s="22"/>
      <c r="E116" s="23"/>
      <c r="F116" s="24"/>
      <c r="G116" s="25" t="str">
        <f t="shared" si="28"/>
        <v/>
      </c>
      <c r="H116" s="26" t="str">
        <f t="shared" si="18"/>
        <v/>
      </c>
      <c r="I116" s="26">
        <f t="shared" si="29"/>
        <v>0</v>
      </c>
      <c r="J116" s="26">
        <f t="shared" si="19"/>
        <v>0</v>
      </c>
      <c r="K116" s="22"/>
      <c r="L116" s="27" t="str">
        <f t="shared" si="30"/>
        <v/>
      </c>
      <c r="M116" s="24"/>
      <c r="N116" s="26">
        <f t="shared" si="20"/>
        <v>0</v>
      </c>
      <c r="O116" s="26" t="str">
        <f t="shared" si="31"/>
        <v/>
      </c>
      <c r="P116" s="26" t="str">
        <f t="shared" si="21"/>
        <v/>
      </c>
      <c r="Q116" s="28">
        <f t="shared" si="32"/>
        <v>0</v>
      </c>
      <c r="R116" s="29" t="str">
        <f t="shared" si="33"/>
        <v/>
      </c>
    </row>
    <row r="117" spans="1:18">
      <c r="A117" s="20"/>
      <c r="B117" s="20"/>
      <c r="C117" s="21"/>
      <c r="D117" s="22"/>
      <c r="E117" s="23"/>
      <c r="F117" s="24"/>
      <c r="G117" s="25" t="str">
        <f t="shared" si="28"/>
        <v/>
      </c>
      <c r="H117" s="26" t="str">
        <f t="shared" si="18"/>
        <v/>
      </c>
      <c r="I117" s="26">
        <f t="shared" si="29"/>
        <v>0</v>
      </c>
      <c r="J117" s="26">
        <f t="shared" si="19"/>
        <v>0</v>
      </c>
      <c r="K117" s="22"/>
      <c r="L117" s="27" t="str">
        <f t="shared" si="30"/>
        <v/>
      </c>
      <c r="M117" s="24"/>
      <c r="N117" s="26">
        <f t="shared" si="20"/>
        <v>0</v>
      </c>
      <c r="O117" s="26" t="str">
        <f t="shared" si="31"/>
        <v/>
      </c>
      <c r="P117" s="26" t="str">
        <f t="shared" si="21"/>
        <v/>
      </c>
      <c r="Q117" s="28">
        <f t="shared" si="32"/>
        <v>0</v>
      </c>
      <c r="R117" s="29" t="str">
        <f t="shared" si="33"/>
        <v/>
      </c>
    </row>
    <row r="118" spans="1:18">
      <c r="A118" s="20"/>
      <c r="B118" s="20"/>
      <c r="C118" s="21"/>
      <c r="D118" s="22"/>
      <c r="E118" s="23"/>
      <c r="F118" s="24"/>
      <c r="G118" s="25" t="str">
        <f t="shared" si="28"/>
        <v/>
      </c>
      <c r="H118" s="26" t="str">
        <f t="shared" si="18"/>
        <v/>
      </c>
      <c r="I118" s="26">
        <f t="shared" si="29"/>
        <v>0</v>
      </c>
      <c r="J118" s="26">
        <f t="shared" si="19"/>
        <v>0</v>
      </c>
      <c r="K118" s="22"/>
      <c r="L118" s="27" t="str">
        <f t="shared" si="30"/>
        <v/>
      </c>
      <c r="M118" s="24"/>
      <c r="N118" s="26">
        <f t="shared" si="20"/>
        <v>0</v>
      </c>
      <c r="O118" s="26" t="str">
        <f t="shared" si="31"/>
        <v/>
      </c>
      <c r="P118" s="26" t="str">
        <f t="shared" si="21"/>
        <v/>
      </c>
      <c r="Q118" s="28">
        <f t="shared" si="32"/>
        <v>0</v>
      </c>
      <c r="R118" s="29" t="str">
        <f t="shared" si="33"/>
        <v/>
      </c>
    </row>
    <row r="119" spans="1:18">
      <c r="A119" s="20"/>
      <c r="B119" s="20"/>
      <c r="C119" s="21"/>
      <c r="D119" s="22"/>
      <c r="E119" s="23"/>
      <c r="F119" s="24"/>
      <c r="G119" s="25" t="str">
        <f t="shared" si="28"/>
        <v/>
      </c>
      <c r="H119" s="26" t="str">
        <f t="shared" si="18"/>
        <v/>
      </c>
      <c r="I119" s="26">
        <f t="shared" si="29"/>
        <v>0</v>
      </c>
      <c r="J119" s="26">
        <f t="shared" si="19"/>
        <v>0</v>
      </c>
      <c r="K119" s="22"/>
      <c r="L119" s="27" t="str">
        <f t="shared" si="30"/>
        <v/>
      </c>
      <c r="M119" s="24"/>
      <c r="N119" s="26">
        <f t="shared" si="20"/>
        <v>0</v>
      </c>
      <c r="O119" s="26" t="str">
        <f t="shared" si="31"/>
        <v/>
      </c>
      <c r="P119" s="26" t="str">
        <f t="shared" si="21"/>
        <v/>
      </c>
      <c r="Q119" s="28">
        <f t="shared" si="32"/>
        <v>0</v>
      </c>
      <c r="R119" s="29" t="str">
        <f t="shared" si="33"/>
        <v/>
      </c>
    </row>
    <row r="120" spans="1:18">
      <c r="A120" s="20"/>
      <c r="B120" s="20"/>
      <c r="C120" s="21"/>
      <c r="D120" s="22"/>
      <c r="E120" s="23"/>
      <c r="F120" s="24"/>
      <c r="G120" s="25" t="str">
        <f t="shared" si="28"/>
        <v/>
      </c>
      <c r="H120" s="26" t="str">
        <f t="shared" si="18"/>
        <v/>
      </c>
      <c r="I120" s="26">
        <f t="shared" si="29"/>
        <v>0</v>
      </c>
      <c r="J120" s="26">
        <f t="shared" si="19"/>
        <v>0</v>
      </c>
      <c r="K120" s="22"/>
      <c r="L120" s="27" t="str">
        <f t="shared" si="30"/>
        <v/>
      </c>
      <c r="M120" s="24"/>
      <c r="N120" s="26">
        <f t="shared" si="20"/>
        <v>0</v>
      </c>
      <c r="O120" s="26" t="str">
        <f t="shared" si="31"/>
        <v/>
      </c>
      <c r="P120" s="26" t="str">
        <f t="shared" si="21"/>
        <v/>
      </c>
      <c r="Q120" s="28">
        <f t="shared" si="32"/>
        <v>0</v>
      </c>
      <c r="R120" s="29" t="str">
        <f t="shared" si="33"/>
        <v/>
      </c>
    </row>
    <row r="121" spans="1:18">
      <c r="A121" s="20"/>
      <c r="B121" s="20"/>
      <c r="C121" s="21"/>
      <c r="D121" s="22"/>
      <c r="E121" s="23"/>
      <c r="F121" s="24"/>
      <c r="G121" s="25" t="str">
        <f t="shared" si="28"/>
        <v/>
      </c>
      <c r="H121" s="26" t="str">
        <f t="shared" si="18"/>
        <v/>
      </c>
      <c r="I121" s="26">
        <f t="shared" si="29"/>
        <v>0</v>
      </c>
      <c r="J121" s="26">
        <f t="shared" si="19"/>
        <v>0</v>
      </c>
      <c r="K121" s="22"/>
      <c r="L121" s="27" t="str">
        <f t="shared" si="30"/>
        <v/>
      </c>
      <c r="M121" s="24"/>
      <c r="N121" s="26">
        <f t="shared" si="20"/>
        <v>0</v>
      </c>
      <c r="O121" s="26" t="str">
        <f t="shared" si="31"/>
        <v/>
      </c>
      <c r="P121" s="26" t="str">
        <f t="shared" si="21"/>
        <v/>
      </c>
      <c r="Q121" s="28">
        <f t="shared" si="32"/>
        <v>0</v>
      </c>
      <c r="R121" s="29" t="str">
        <f t="shared" si="33"/>
        <v/>
      </c>
    </row>
    <row r="122" spans="1:18">
      <c r="A122" s="20"/>
      <c r="B122" s="20"/>
      <c r="C122" s="21"/>
      <c r="D122" s="22"/>
      <c r="E122" s="23"/>
      <c r="F122" s="24"/>
      <c r="G122" s="25" t="str">
        <f t="shared" si="28"/>
        <v/>
      </c>
      <c r="H122" s="26" t="str">
        <f t="shared" si="18"/>
        <v/>
      </c>
      <c r="I122" s="26">
        <f t="shared" si="29"/>
        <v>0</v>
      </c>
      <c r="J122" s="26">
        <f t="shared" si="19"/>
        <v>0</v>
      </c>
      <c r="K122" s="22"/>
      <c r="L122" s="27" t="str">
        <f t="shared" si="30"/>
        <v/>
      </c>
      <c r="M122" s="24"/>
      <c r="N122" s="26">
        <f t="shared" si="20"/>
        <v>0</v>
      </c>
      <c r="O122" s="26" t="str">
        <f t="shared" si="31"/>
        <v/>
      </c>
      <c r="P122" s="26" t="str">
        <f t="shared" si="21"/>
        <v/>
      </c>
      <c r="Q122" s="28">
        <f t="shared" si="32"/>
        <v>0</v>
      </c>
      <c r="R122" s="29" t="str">
        <f t="shared" si="33"/>
        <v/>
      </c>
    </row>
    <row r="123" spans="1:18">
      <c r="A123" s="20"/>
      <c r="B123" s="20"/>
      <c r="C123" s="21"/>
      <c r="D123" s="22"/>
      <c r="E123" s="23"/>
      <c r="F123" s="24"/>
      <c r="G123" s="25" t="str">
        <f t="shared" si="28"/>
        <v/>
      </c>
      <c r="H123" s="26" t="str">
        <f t="shared" si="18"/>
        <v/>
      </c>
      <c r="I123" s="26">
        <f t="shared" si="29"/>
        <v>0</v>
      </c>
      <c r="J123" s="26">
        <f t="shared" si="19"/>
        <v>0</v>
      </c>
      <c r="K123" s="22"/>
      <c r="L123" s="27" t="str">
        <f t="shared" si="30"/>
        <v/>
      </c>
      <c r="M123" s="24"/>
      <c r="N123" s="26">
        <f t="shared" si="20"/>
        <v>0</v>
      </c>
      <c r="O123" s="26" t="str">
        <f t="shared" si="31"/>
        <v/>
      </c>
      <c r="P123" s="26" t="str">
        <f t="shared" si="21"/>
        <v/>
      </c>
      <c r="Q123" s="28">
        <f t="shared" si="32"/>
        <v>0</v>
      </c>
      <c r="R123" s="29" t="str">
        <f t="shared" si="33"/>
        <v/>
      </c>
    </row>
    <row r="124" spans="1:18">
      <c r="A124" s="20"/>
      <c r="B124" s="20"/>
      <c r="C124" s="21"/>
      <c r="D124" s="22"/>
      <c r="E124" s="23"/>
      <c r="F124" s="24"/>
      <c r="G124" s="25" t="str">
        <f t="shared" si="28"/>
        <v/>
      </c>
      <c r="H124" s="26" t="str">
        <f t="shared" si="18"/>
        <v/>
      </c>
      <c r="I124" s="26">
        <f t="shared" si="29"/>
        <v>0</v>
      </c>
      <c r="J124" s="26">
        <f t="shared" si="19"/>
        <v>0</v>
      </c>
      <c r="K124" s="22"/>
      <c r="L124" s="27" t="str">
        <f t="shared" si="30"/>
        <v/>
      </c>
      <c r="M124" s="24"/>
      <c r="N124" s="26">
        <f t="shared" si="20"/>
        <v>0</v>
      </c>
      <c r="O124" s="26" t="str">
        <f t="shared" si="31"/>
        <v/>
      </c>
      <c r="P124" s="26" t="str">
        <f t="shared" si="21"/>
        <v/>
      </c>
      <c r="Q124" s="28">
        <f t="shared" si="32"/>
        <v>0</v>
      </c>
      <c r="R124" s="29" t="str">
        <f t="shared" si="33"/>
        <v/>
      </c>
    </row>
    <row r="125" spans="1:18">
      <c r="A125" s="20"/>
      <c r="B125" s="20"/>
      <c r="C125" s="21"/>
      <c r="D125" s="22"/>
      <c r="E125" s="23"/>
      <c r="F125" s="24"/>
      <c r="G125" s="25" t="str">
        <f t="shared" si="28"/>
        <v/>
      </c>
      <c r="H125" s="26" t="str">
        <f t="shared" si="18"/>
        <v/>
      </c>
      <c r="I125" s="26">
        <f t="shared" si="29"/>
        <v>0</v>
      </c>
      <c r="J125" s="26">
        <f t="shared" si="19"/>
        <v>0</v>
      </c>
      <c r="K125" s="22"/>
      <c r="L125" s="27" t="str">
        <f t="shared" si="30"/>
        <v/>
      </c>
      <c r="M125" s="24"/>
      <c r="N125" s="26">
        <f t="shared" si="20"/>
        <v>0</v>
      </c>
      <c r="O125" s="26" t="str">
        <f t="shared" si="31"/>
        <v/>
      </c>
      <c r="P125" s="26" t="str">
        <f t="shared" si="21"/>
        <v/>
      </c>
      <c r="Q125" s="28">
        <f t="shared" si="32"/>
        <v>0</v>
      </c>
      <c r="R125" s="29" t="str">
        <f t="shared" si="33"/>
        <v/>
      </c>
    </row>
    <row r="126" spans="1:18">
      <c r="A126" s="20"/>
      <c r="B126" s="20"/>
      <c r="C126" s="21"/>
      <c r="D126" s="22"/>
      <c r="E126" s="23"/>
      <c r="F126" s="24"/>
      <c r="G126" s="25" t="str">
        <f t="shared" si="28"/>
        <v/>
      </c>
      <c r="H126" s="26" t="str">
        <f t="shared" si="18"/>
        <v/>
      </c>
      <c r="I126" s="26">
        <f t="shared" si="29"/>
        <v>0</v>
      </c>
      <c r="J126" s="26">
        <f t="shared" si="19"/>
        <v>0</v>
      </c>
      <c r="K126" s="22"/>
      <c r="L126" s="27" t="str">
        <f t="shared" si="30"/>
        <v/>
      </c>
      <c r="M126" s="24"/>
      <c r="N126" s="26">
        <f t="shared" si="20"/>
        <v>0</v>
      </c>
      <c r="O126" s="26" t="str">
        <f t="shared" si="31"/>
        <v/>
      </c>
      <c r="P126" s="26" t="str">
        <f t="shared" si="21"/>
        <v/>
      </c>
      <c r="Q126" s="28">
        <f t="shared" si="32"/>
        <v>0</v>
      </c>
      <c r="R126" s="29" t="str">
        <f t="shared" si="33"/>
        <v/>
      </c>
    </row>
    <row r="127" spans="1:18">
      <c r="A127" s="20"/>
      <c r="B127" s="20"/>
      <c r="C127" s="21"/>
      <c r="D127" s="22"/>
      <c r="E127" s="23"/>
      <c r="F127" s="24"/>
      <c r="G127" s="25" t="str">
        <f t="shared" si="28"/>
        <v/>
      </c>
      <c r="H127" s="26" t="str">
        <f t="shared" si="18"/>
        <v/>
      </c>
      <c r="I127" s="26">
        <f t="shared" si="29"/>
        <v>0</v>
      </c>
      <c r="J127" s="26">
        <f t="shared" si="19"/>
        <v>0</v>
      </c>
      <c r="K127" s="22"/>
      <c r="L127" s="27" t="str">
        <f t="shared" si="30"/>
        <v/>
      </c>
      <c r="M127" s="24"/>
      <c r="N127" s="26">
        <f t="shared" si="20"/>
        <v>0</v>
      </c>
      <c r="O127" s="26" t="str">
        <f t="shared" si="31"/>
        <v/>
      </c>
      <c r="P127" s="26" t="str">
        <f t="shared" si="21"/>
        <v/>
      </c>
      <c r="Q127" s="28">
        <f t="shared" si="32"/>
        <v>0</v>
      </c>
      <c r="R127" s="29" t="str">
        <f t="shared" si="33"/>
        <v/>
      </c>
    </row>
    <row r="128" spans="1:18">
      <c r="A128" s="20"/>
      <c r="B128" s="20"/>
      <c r="C128" s="21"/>
      <c r="D128" s="22"/>
      <c r="E128" s="23"/>
      <c r="F128" s="24"/>
      <c r="G128" s="25" t="str">
        <f t="shared" si="28"/>
        <v/>
      </c>
      <c r="H128" s="26" t="str">
        <f t="shared" si="18"/>
        <v/>
      </c>
      <c r="I128" s="26">
        <f t="shared" si="29"/>
        <v>0</v>
      </c>
      <c r="J128" s="26">
        <f t="shared" si="19"/>
        <v>0</v>
      </c>
      <c r="K128" s="22"/>
      <c r="L128" s="27" t="str">
        <f t="shared" si="30"/>
        <v/>
      </c>
      <c r="M128" s="24"/>
      <c r="N128" s="26">
        <f t="shared" si="20"/>
        <v>0</v>
      </c>
      <c r="O128" s="26" t="str">
        <f t="shared" si="31"/>
        <v/>
      </c>
      <c r="P128" s="26" t="str">
        <f t="shared" si="21"/>
        <v/>
      </c>
      <c r="Q128" s="28">
        <f t="shared" si="32"/>
        <v>0</v>
      </c>
      <c r="R128" s="29" t="str">
        <f t="shared" si="33"/>
        <v/>
      </c>
    </row>
    <row r="129" spans="1:18">
      <c r="A129" s="20"/>
      <c r="B129" s="20"/>
      <c r="C129" s="21"/>
      <c r="D129" s="22"/>
      <c r="E129" s="23"/>
      <c r="F129" s="24"/>
      <c r="G129" s="25" t="str">
        <f t="shared" si="28"/>
        <v/>
      </c>
      <c r="H129" s="26" t="str">
        <f t="shared" si="18"/>
        <v/>
      </c>
      <c r="I129" s="26">
        <f t="shared" si="29"/>
        <v>0</v>
      </c>
      <c r="J129" s="26">
        <f t="shared" si="19"/>
        <v>0</v>
      </c>
      <c r="K129" s="22"/>
      <c r="L129" s="27" t="str">
        <f t="shared" si="30"/>
        <v/>
      </c>
      <c r="M129" s="24"/>
      <c r="N129" s="26">
        <f t="shared" si="20"/>
        <v>0</v>
      </c>
      <c r="O129" s="26" t="str">
        <f t="shared" si="31"/>
        <v/>
      </c>
      <c r="P129" s="26" t="str">
        <f t="shared" si="21"/>
        <v/>
      </c>
      <c r="Q129" s="28">
        <f t="shared" si="32"/>
        <v>0</v>
      </c>
      <c r="R129" s="29" t="str">
        <f t="shared" si="33"/>
        <v/>
      </c>
    </row>
    <row r="130" spans="1:18">
      <c r="A130" s="20"/>
      <c r="B130" s="20"/>
      <c r="C130" s="21"/>
      <c r="D130" s="22"/>
      <c r="E130" s="23"/>
      <c r="F130" s="24"/>
      <c r="G130" s="25" t="str">
        <f t="shared" si="28"/>
        <v/>
      </c>
      <c r="H130" s="26" t="str">
        <f t="shared" si="18"/>
        <v/>
      </c>
      <c r="I130" s="26">
        <f t="shared" si="29"/>
        <v>0</v>
      </c>
      <c r="J130" s="26">
        <f t="shared" si="19"/>
        <v>0</v>
      </c>
      <c r="K130" s="22"/>
      <c r="L130" s="27" t="str">
        <f t="shared" si="30"/>
        <v/>
      </c>
      <c r="M130" s="24"/>
      <c r="N130" s="26">
        <f t="shared" si="20"/>
        <v>0</v>
      </c>
      <c r="O130" s="26" t="str">
        <f t="shared" si="31"/>
        <v/>
      </c>
      <c r="P130" s="26" t="str">
        <f t="shared" si="21"/>
        <v/>
      </c>
      <c r="Q130" s="28">
        <f t="shared" si="32"/>
        <v>0</v>
      </c>
      <c r="R130" s="29" t="str">
        <f t="shared" si="33"/>
        <v/>
      </c>
    </row>
    <row r="131" spans="1:18">
      <c r="A131" s="20"/>
      <c r="B131" s="20"/>
      <c r="C131" s="21"/>
      <c r="D131" s="22"/>
      <c r="E131" s="23"/>
      <c r="F131" s="24"/>
      <c r="G131" s="25" t="str">
        <f t="shared" si="28"/>
        <v/>
      </c>
      <c r="H131" s="26" t="str">
        <f t="shared" si="18"/>
        <v/>
      </c>
      <c r="I131" s="26">
        <f t="shared" si="29"/>
        <v>0</v>
      </c>
      <c r="J131" s="26">
        <f t="shared" si="19"/>
        <v>0</v>
      </c>
      <c r="K131" s="22"/>
      <c r="L131" s="27" t="str">
        <f t="shared" si="30"/>
        <v/>
      </c>
      <c r="M131" s="24"/>
      <c r="N131" s="26">
        <f t="shared" si="20"/>
        <v>0</v>
      </c>
      <c r="O131" s="26" t="str">
        <f t="shared" si="31"/>
        <v/>
      </c>
      <c r="P131" s="26" t="str">
        <f t="shared" si="21"/>
        <v/>
      </c>
      <c r="Q131" s="28">
        <f t="shared" si="32"/>
        <v>0</v>
      </c>
      <c r="R131" s="29" t="str">
        <f t="shared" si="33"/>
        <v/>
      </c>
    </row>
    <row r="132" spans="1:18">
      <c r="A132" s="20"/>
      <c r="B132" s="20"/>
      <c r="C132" s="21"/>
      <c r="D132" s="22"/>
      <c r="E132" s="23"/>
      <c r="F132" s="24"/>
      <c r="G132" s="25" t="str">
        <f t="shared" si="28"/>
        <v/>
      </c>
      <c r="H132" s="26" t="str">
        <f t="shared" si="18"/>
        <v/>
      </c>
      <c r="I132" s="26">
        <f t="shared" si="29"/>
        <v>0</v>
      </c>
      <c r="J132" s="26">
        <f t="shared" si="19"/>
        <v>0</v>
      </c>
      <c r="K132" s="22"/>
      <c r="L132" s="27" t="str">
        <f t="shared" si="30"/>
        <v/>
      </c>
      <c r="M132" s="24"/>
      <c r="N132" s="26">
        <f t="shared" si="20"/>
        <v>0</v>
      </c>
      <c r="O132" s="26" t="str">
        <f t="shared" si="31"/>
        <v/>
      </c>
      <c r="P132" s="26" t="str">
        <f t="shared" si="21"/>
        <v/>
      </c>
      <c r="Q132" s="28">
        <f t="shared" si="32"/>
        <v>0</v>
      </c>
      <c r="R132" s="29" t="str">
        <f t="shared" si="33"/>
        <v/>
      </c>
    </row>
    <row r="133" spans="1:18">
      <c r="A133" s="20"/>
      <c r="B133" s="20"/>
      <c r="C133" s="21"/>
      <c r="D133" s="22"/>
      <c r="E133" s="23"/>
      <c r="F133" s="24"/>
      <c r="G133" s="25" t="str">
        <f t="shared" si="28"/>
        <v/>
      </c>
      <c r="H133" s="26" t="str">
        <f t="shared" si="18"/>
        <v/>
      </c>
      <c r="I133" s="26">
        <f t="shared" si="29"/>
        <v>0</v>
      </c>
      <c r="J133" s="26">
        <f t="shared" si="19"/>
        <v>0</v>
      </c>
      <c r="K133" s="22"/>
      <c r="L133" s="27" t="str">
        <f t="shared" si="30"/>
        <v/>
      </c>
      <c r="M133" s="24"/>
      <c r="N133" s="26">
        <f t="shared" si="20"/>
        <v>0</v>
      </c>
      <c r="O133" s="26" t="str">
        <f t="shared" si="31"/>
        <v/>
      </c>
      <c r="P133" s="26" t="str">
        <f t="shared" si="21"/>
        <v/>
      </c>
      <c r="Q133" s="28">
        <f t="shared" si="32"/>
        <v>0</v>
      </c>
      <c r="R133" s="29" t="str">
        <f t="shared" si="33"/>
        <v/>
      </c>
    </row>
    <row r="134" spans="1:18">
      <c r="A134" s="20"/>
      <c r="B134" s="20"/>
      <c r="C134" s="21"/>
      <c r="D134" s="22"/>
      <c r="E134" s="23"/>
      <c r="F134" s="24"/>
      <c r="G134" s="25" t="str">
        <f t="shared" si="28"/>
        <v/>
      </c>
      <c r="H134" s="26" t="str">
        <f t="shared" si="18"/>
        <v/>
      </c>
      <c r="I134" s="26">
        <f t="shared" si="29"/>
        <v>0</v>
      </c>
      <c r="J134" s="26">
        <f t="shared" si="19"/>
        <v>0</v>
      </c>
      <c r="K134" s="22"/>
      <c r="L134" s="27" t="str">
        <f t="shared" si="30"/>
        <v/>
      </c>
      <c r="M134" s="24"/>
      <c r="N134" s="26">
        <f t="shared" si="20"/>
        <v>0</v>
      </c>
      <c r="O134" s="26" t="str">
        <f t="shared" si="31"/>
        <v/>
      </c>
      <c r="P134" s="26" t="str">
        <f t="shared" si="21"/>
        <v/>
      </c>
      <c r="Q134" s="28">
        <f t="shared" si="32"/>
        <v>0</v>
      </c>
      <c r="R134" s="29" t="str">
        <f t="shared" si="33"/>
        <v/>
      </c>
    </row>
    <row r="135" spans="1:18">
      <c r="A135" s="20"/>
      <c r="B135" s="20"/>
      <c r="C135" s="21"/>
      <c r="D135" s="22"/>
      <c r="E135" s="23"/>
      <c r="F135" s="24"/>
      <c r="G135" s="25" t="str">
        <f t="shared" si="28"/>
        <v/>
      </c>
      <c r="H135" s="26" t="str">
        <f t="shared" si="18"/>
        <v/>
      </c>
      <c r="I135" s="26">
        <f t="shared" si="29"/>
        <v>0</v>
      </c>
      <c r="J135" s="26">
        <f t="shared" si="19"/>
        <v>0</v>
      </c>
      <c r="K135" s="22"/>
      <c r="L135" s="27" t="str">
        <f t="shared" si="30"/>
        <v/>
      </c>
      <c r="M135" s="24"/>
      <c r="N135" s="26">
        <f t="shared" si="20"/>
        <v>0</v>
      </c>
      <c r="O135" s="26" t="str">
        <f t="shared" si="31"/>
        <v/>
      </c>
      <c r="P135" s="26" t="str">
        <f t="shared" si="21"/>
        <v/>
      </c>
      <c r="Q135" s="28">
        <f t="shared" si="32"/>
        <v>0</v>
      </c>
      <c r="R135" s="29" t="str">
        <f t="shared" si="33"/>
        <v/>
      </c>
    </row>
    <row r="136" spans="1:18">
      <c r="A136" s="20"/>
      <c r="B136" s="20"/>
      <c r="C136" s="21"/>
      <c r="D136" s="22"/>
      <c r="E136" s="23"/>
      <c r="F136" s="24"/>
      <c r="G136" s="25" t="str">
        <f t="shared" si="28"/>
        <v/>
      </c>
      <c r="H136" s="26" t="str">
        <f t="shared" si="18"/>
        <v/>
      </c>
      <c r="I136" s="26">
        <f t="shared" si="29"/>
        <v>0</v>
      </c>
      <c r="J136" s="26">
        <f t="shared" si="19"/>
        <v>0</v>
      </c>
      <c r="K136" s="22"/>
      <c r="L136" s="27" t="str">
        <f t="shared" si="30"/>
        <v/>
      </c>
      <c r="M136" s="24"/>
      <c r="N136" s="26">
        <f t="shared" si="20"/>
        <v>0</v>
      </c>
      <c r="O136" s="26" t="str">
        <f t="shared" si="31"/>
        <v/>
      </c>
      <c r="P136" s="26" t="str">
        <f t="shared" si="21"/>
        <v/>
      </c>
      <c r="Q136" s="28">
        <f t="shared" si="32"/>
        <v>0</v>
      </c>
      <c r="R136" s="29" t="str">
        <f t="shared" si="33"/>
        <v/>
      </c>
    </row>
    <row r="137" spans="1:18">
      <c r="A137" s="20"/>
      <c r="B137" s="20"/>
      <c r="C137" s="21"/>
      <c r="D137" s="22"/>
      <c r="E137" s="23"/>
      <c r="F137" s="24"/>
      <c r="G137" s="25" t="str">
        <f t="shared" si="28"/>
        <v/>
      </c>
      <c r="H137" s="26" t="str">
        <f t="shared" si="18"/>
        <v/>
      </c>
      <c r="I137" s="26">
        <f t="shared" si="29"/>
        <v>0</v>
      </c>
      <c r="J137" s="26">
        <f t="shared" si="19"/>
        <v>0</v>
      </c>
      <c r="K137" s="22"/>
      <c r="L137" s="27" t="str">
        <f t="shared" si="30"/>
        <v/>
      </c>
      <c r="M137" s="24"/>
      <c r="N137" s="26">
        <f t="shared" si="20"/>
        <v>0</v>
      </c>
      <c r="O137" s="26" t="str">
        <f t="shared" si="31"/>
        <v/>
      </c>
      <c r="P137" s="26" t="str">
        <f t="shared" si="21"/>
        <v/>
      </c>
      <c r="Q137" s="28">
        <f t="shared" si="32"/>
        <v>0</v>
      </c>
      <c r="R137" s="29" t="str">
        <f t="shared" si="33"/>
        <v/>
      </c>
    </row>
    <row r="138" spans="1:18">
      <c r="A138" s="20"/>
      <c r="B138" s="20"/>
      <c r="C138" s="21"/>
      <c r="D138" s="22"/>
      <c r="E138" s="23"/>
      <c r="F138" s="24"/>
      <c r="G138" s="25" t="str">
        <f t="shared" si="28"/>
        <v/>
      </c>
      <c r="H138" s="26" t="str">
        <f t="shared" si="18"/>
        <v/>
      </c>
      <c r="I138" s="26">
        <f t="shared" si="29"/>
        <v>0</v>
      </c>
      <c r="J138" s="26">
        <f t="shared" si="19"/>
        <v>0</v>
      </c>
      <c r="K138" s="22"/>
      <c r="L138" s="27" t="str">
        <f t="shared" si="30"/>
        <v/>
      </c>
      <c r="M138" s="24"/>
      <c r="N138" s="26">
        <f t="shared" si="20"/>
        <v>0</v>
      </c>
      <c r="O138" s="26" t="str">
        <f t="shared" si="31"/>
        <v/>
      </c>
      <c r="P138" s="26" t="str">
        <f t="shared" si="21"/>
        <v/>
      </c>
      <c r="Q138" s="28">
        <f t="shared" si="32"/>
        <v>0</v>
      </c>
      <c r="R138" s="29" t="str">
        <f t="shared" si="33"/>
        <v/>
      </c>
    </row>
    <row r="139" spans="1:18">
      <c r="A139" s="20"/>
      <c r="B139" s="20"/>
      <c r="C139" s="21"/>
      <c r="D139" s="22"/>
      <c r="E139" s="23"/>
      <c r="F139" s="24"/>
      <c r="G139" s="25" t="str">
        <f t="shared" si="28"/>
        <v/>
      </c>
      <c r="H139" s="26" t="str">
        <f t="shared" si="18"/>
        <v/>
      </c>
      <c r="I139" s="26">
        <f t="shared" si="29"/>
        <v>0</v>
      </c>
      <c r="J139" s="26">
        <f t="shared" si="19"/>
        <v>0</v>
      </c>
      <c r="K139" s="22"/>
      <c r="L139" s="27" t="str">
        <f t="shared" si="30"/>
        <v/>
      </c>
      <c r="M139" s="24"/>
      <c r="N139" s="26">
        <f t="shared" si="20"/>
        <v>0</v>
      </c>
      <c r="O139" s="26" t="str">
        <f t="shared" si="31"/>
        <v/>
      </c>
      <c r="P139" s="26" t="str">
        <f t="shared" si="21"/>
        <v/>
      </c>
      <c r="Q139" s="28">
        <f t="shared" si="32"/>
        <v>0</v>
      </c>
      <c r="R139" s="29" t="str">
        <f t="shared" si="33"/>
        <v/>
      </c>
    </row>
    <row r="140" spans="1:18">
      <c r="A140" s="20"/>
      <c r="B140" s="20"/>
      <c r="C140" s="21"/>
      <c r="D140" s="22"/>
      <c r="E140" s="23"/>
      <c r="F140" s="24"/>
      <c r="G140" s="25" t="str">
        <f t="shared" si="28"/>
        <v/>
      </c>
      <c r="H140" s="26" t="str">
        <f t="shared" si="18"/>
        <v/>
      </c>
      <c r="I140" s="26">
        <f t="shared" si="29"/>
        <v>0</v>
      </c>
      <c r="J140" s="26">
        <f t="shared" si="19"/>
        <v>0</v>
      </c>
      <c r="K140" s="22"/>
      <c r="L140" s="27" t="str">
        <f t="shared" si="30"/>
        <v/>
      </c>
      <c r="M140" s="24"/>
      <c r="N140" s="26">
        <f t="shared" si="20"/>
        <v>0</v>
      </c>
      <c r="O140" s="26" t="str">
        <f t="shared" si="31"/>
        <v/>
      </c>
      <c r="P140" s="26" t="str">
        <f t="shared" si="21"/>
        <v/>
      </c>
      <c r="Q140" s="28">
        <f t="shared" si="32"/>
        <v>0</v>
      </c>
      <c r="R140" s="29" t="str">
        <f t="shared" si="33"/>
        <v/>
      </c>
    </row>
    <row r="141" spans="1:18">
      <c r="A141" s="20"/>
      <c r="B141" s="20"/>
      <c r="C141" s="21"/>
      <c r="D141" s="22"/>
      <c r="E141" s="23"/>
      <c r="F141" s="24"/>
      <c r="G141" s="25" t="str">
        <f t="shared" si="28"/>
        <v/>
      </c>
      <c r="H141" s="26" t="str">
        <f t="shared" si="18"/>
        <v/>
      </c>
      <c r="I141" s="26">
        <f t="shared" si="29"/>
        <v>0</v>
      </c>
      <c r="J141" s="26">
        <f t="shared" si="19"/>
        <v>0</v>
      </c>
      <c r="K141" s="22"/>
      <c r="L141" s="27" t="str">
        <f t="shared" si="30"/>
        <v/>
      </c>
      <c r="M141" s="24"/>
      <c r="N141" s="26">
        <f t="shared" si="20"/>
        <v>0</v>
      </c>
      <c r="O141" s="26" t="str">
        <f t="shared" si="31"/>
        <v/>
      </c>
      <c r="P141" s="26" t="str">
        <f t="shared" si="21"/>
        <v/>
      </c>
      <c r="Q141" s="28">
        <f t="shared" si="32"/>
        <v>0</v>
      </c>
      <c r="R141" s="29" t="str">
        <f t="shared" si="33"/>
        <v/>
      </c>
    </row>
    <row r="142" spans="1:18">
      <c r="A142" s="20"/>
      <c r="B142" s="20"/>
      <c r="C142" s="21"/>
      <c r="D142" s="22"/>
      <c r="E142" s="23"/>
      <c r="F142" s="24"/>
      <c r="G142" s="25" t="str">
        <f t="shared" si="28"/>
        <v/>
      </c>
      <c r="H142" s="26" t="str">
        <f t="shared" si="18"/>
        <v/>
      </c>
      <c r="I142" s="26">
        <f t="shared" si="29"/>
        <v>0</v>
      </c>
      <c r="J142" s="26">
        <f t="shared" si="19"/>
        <v>0</v>
      </c>
      <c r="K142" s="22"/>
      <c r="L142" s="27" t="str">
        <f t="shared" si="30"/>
        <v/>
      </c>
      <c r="M142" s="24"/>
      <c r="N142" s="26">
        <f t="shared" si="20"/>
        <v>0</v>
      </c>
      <c r="O142" s="26" t="str">
        <f t="shared" si="31"/>
        <v/>
      </c>
      <c r="P142" s="26" t="str">
        <f t="shared" si="21"/>
        <v/>
      </c>
      <c r="Q142" s="28">
        <f t="shared" si="32"/>
        <v>0</v>
      </c>
      <c r="R142" s="29" t="str">
        <f t="shared" si="33"/>
        <v/>
      </c>
    </row>
    <row r="143" spans="1:18">
      <c r="A143" s="20"/>
      <c r="B143" s="20"/>
      <c r="C143" s="21"/>
      <c r="D143" s="22"/>
      <c r="E143" s="23"/>
      <c r="F143" s="24"/>
      <c r="G143" s="25" t="str">
        <f t="shared" si="28"/>
        <v/>
      </c>
      <c r="H143" s="26" t="str">
        <f t="shared" si="18"/>
        <v/>
      </c>
      <c r="I143" s="26">
        <f t="shared" si="29"/>
        <v>0</v>
      </c>
      <c r="J143" s="26">
        <f t="shared" si="19"/>
        <v>0</v>
      </c>
      <c r="K143" s="22"/>
      <c r="L143" s="27" t="str">
        <f t="shared" si="30"/>
        <v/>
      </c>
      <c r="M143" s="24"/>
      <c r="N143" s="26">
        <f t="shared" si="20"/>
        <v>0</v>
      </c>
      <c r="O143" s="26" t="str">
        <f t="shared" si="31"/>
        <v/>
      </c>
      <c r="P143" s="26" t="str">
        <f t="shared" si="21"/>
        <v/>
      </c>
      <c r="Q143" s="28">
        <f t="shared" si="32"/>
        <v>0</v>
      </c>
      <c r="R143" s="29" t="str">
        <f t="shared" si="33"/>
        <v/>
      </c>
    </row>
    <row r="144" spans="1:18">
      <c r="A144" s="20"/>
      <c r="B144" s="20"/>
      <c r="C144" s="21"/>
      <c r="D144" s="22"/>
      <c r="E144" s="23"/>
      <c r="F144" s="24"/>
      <c r="G144" s="25" t="str">
        <f t="shared" si="28"/>
        <v/>
      </c>
      <c r="H144" s="26" t="str">
        <f t="shared" si="18"/>
        <v/>
      </c>
      <c r="I144" s="26">
        <f t="shared" si="29"/>
        <v>0</v>
      </c>
      <c r="J144" s="26">
        <f t="shared" si="19"/>
        <v>0</v>
      </c>
      <c r="K144" s="22"/>
      <c r="L144" s="27" t="str">
        <f t="shared" si="30"/>
        <v/>
      </c>
      <c r="M144" s="24"/>
      <c r="N144" s="26">
        <f t="shared" si="20"/>
        <v>0</v>
      </c>
      <c r="O144" s="26" t="str">
        <f t="shared" si="31"/>
        <v/>
      </c>
      <c r="P144" s="26" t="str">
        <f t="shared" si="21"/>
        <v/>
      </c>
      <c r="Q144" s="28">
        <f t="shared" si="32"/>
        <v>0</v>
      </c>
      <c r="R144" s="29" t="str">
        <f t="shared" si="33"/>
        <v/>
      </c>
    </row>
    <row r="145" spans="1:18">
      <c r="A145" s="20"/>
      <c r="B145" s="20"/>
      <c r="C145" s="21"/>
      <c r="D145" s="22"/>
      <c r="E145" s="23"/>
      <c r="F145" s="24"/>
      <c r="G145" s="25" t="str">
        <f t="shared" si="28"/>
        <v/>
      </c>
      <c r="H145" s="26" t="str">
        <f t="shared" si="18"/>
        <v/>
      </c>
      <c r="I145" s="26">
        <f t="shared" si="29"/>
        <v>0</v>
      </c>
      <c r="J145" s="26">
        <f t="shared" si="19"/>
        <v>0</v>
      </c>
      <c r="K145" s="22"/>
      <c r="L145" s="27" t="str">
        <f t="shared" si="30"/>
        <v/>
      </c>
      <c r="M145" s="24"/>
      <c r="N145" s="26">
        <f t="shared" si="20"/>
        <v>0</v>
      </c>
      <c r="O145" s="26" t="str">
        <f t="shared" si="31"/>
        <v/>
      </c>
      <c r="P145" s="26" t="str">
        <f t="shared" si="21"/>
        <v/>
      </c>
      <c r="Q145" s="28">
        <f t="shared" si="32"/>
        <v>0</v>
      </c>
      <c r="R145" s="29" t="str">
        <f t="shared" si="33"/>
        <v/>
      </c>
    </row>
    <row r="146" spans="1:18">
      <c r="A146" s="20"/>
      <c r="B146" s="20"/>
      <c r="C146" s="21"/>
      <c r="D146" s="22"/>
      <c r="E146" s="23"/>
      <c r="F146" s="24"/>
      <c r="G146" s="25" t="str">
        <f t="shared" si="28"/>
        <v/>
      </c>
      <c r="H146" s="26" t="str">
        <f t="shared" si="18"/>
        <v/>
      </c>
      <c r="I146" s="26">
        <f t="shared" si="29"/>
        <v>0</v>
      </c>
      <c r="J146" s="26">
        <f t="shared" si="19"/>
        <v>0</v>
      </c>
      <c r="K146" s="22"/>
      <c r="L146" s="27" t="str">
        <f t="shared" si="30"/>
        <v/>
      </c>
      <c r="M146" s="24"/>
      <c r="N146" s="26">
        <f t="shared" si="20"/>
        <v>0</v>
      </c>
      <c r="O146" s="26" t="str">
        <f t="shared" si="31"/>
        <v/>
      </c>
      <c r="P146" s="26" t="str">
        <f t="shared" si="21"/>
        <v/>
      </c>
      <c r="Q146" s="28">
        <f t="shared" si="32"/>
        <v>0</v>
      </c>
      <c r="R146" s="29" t="str">
        <f t="shared" si="33"/>
        <v/>
      </c>
    </row>
    <row r="147" spans="1:18">
      <c r="A147" s="20"/>
      <c r="B147" s="20"/>
      <c r="C147" s="21"/>
      <c r="D147" s="22"/>
      <c r="E147" s="23"/>
      <c r="F147" s="24"/>
      <c r="G147" s="25" t="str">
        <f t="shared" si="28"/>
        <v/>
      </c>
      <c r="H147" s="26" t="str">
        <f t="shared" si="18"/>
        <v/>
      </c>
      <c r="I147" s="26">
        <f t="shared" si="29"/>
        <v>0</v>
      </c>
      <c r="J147" s="26">
        <f t="shared" si="19"/>
        <v>0</v>
      </c>
      <c r="K147" s="22"/>
      <c r="L147" s="27" t="str">
        <f t="shared" si="30"/>
        <v/>
      </c>
      <c r="M147" s="24"/>
      <c r="N147" s="26">
        <f t="shared" si="20"/>
        <v>0</v>
      </c>
      <c r="O147" s="26" t="str">
        <f t="shared" si="31"/>
        <v/>
      </c>
      <c r="P147" s="26" t="str">
        <f t="shared" si="21"/>
        <v/>
      </c>
      <c r="Q147" s="28">
        <f t="shared" si="32"/>
        <v>0</v>
      </c>
      <c r="R147" s="29" t="str">
        <f t="shared" si="33"/>
        <v/>
      </c>
    </row>
    <row r="148" spans="1:18">
      <c r="A148" s="20"/>
      <c r="B148" s="20"/>
      <c r="C148" s="21"/>
      <c r="D148" s="22"/>
      <c r="E148" s="23"/>
      <c r="F148" s="24"/>
      <c r="G148" s="25" t="str">
        <f t="shared" si="28"/>
        <v/>
      </c>
      <c r="H148" s="26" t="str">
        <f t="shared" si="18"/>
        <v/>
      </c>
      <c r="I148" s="26">
        <f t="shared" si="29"/>
        <v>0</v>
      </c>
      <c r="J148" s="26">
        <f t="shared" si="19"/>
        <v>0</v>
      </c>
      <c r="K148" s="22"/>
      <c r="L148" s="27" t="str">
        <f t="shared" si="30"/>
        <v/>
      </c>
      <c r="M148" s="24"/>
      <c r="N148" s="26">
        <f t="shared" si="20"/>
        <v>0</v>
      </c>
      <c r="O148" s="26" t="str">
        <f t="shared" si="31"/>
        <v/>
      </c>
      <c r="P148" s="26" t="str">
        <f t="shared" si="21"/>
        <v/>
      </c>
      <c r="Q148" s="28">
        <f t="shared" si="32"/>
        <v>0</v>
      </c>
      <c r="R148" s="29" t="str">
        <f t="shared" si="33"/>
        <v/>
      </c>
    </row>
    <row r="149" spans="1:18">
      <c r="A149" s="20"/>
      <c r="B149" s="20"/>
      <c r="C149" s="21"/>
      <c r="D149" s="22"/>
      <c r="E149" s="23"/>
      <c r="F149" s="24"/>
      <c r="G149" s="25" t="str">
        <f t="shared" si="28"/>
        <v/>
      </c>
      <c r="H149" s="26" t="str">
        <f t="shared" si="18"/>
        <v/>
      </c>
      <c r="I149" s="26">
        <f t="shared" si="29"/>
        <v>0</v>
      </c>
      <c r="J149" s="26">
        <f t="shared" si="19"/>
        <v>0</v>
      </c>
      <c r="K149" s="22"/>
      <c r="L149" s="27" t="str">
        <f t="shared" si="30"/>
        <v/>
      </c>
      <c r="M149" s="24"/>
      <c r="N149" s="26">
        <f t="shared" si="20"/>
        <v>0</v>
      </c>
      <c r="O149" s="26" t="str">
        <f t="shared" si="31"/>
        <v/>
      </c>
      <c r="P149" s="26" t="str">
        <f t="shared" si="21"/>
        <v/>
      </c>
      <c r="Q149" s="28">
        <f t="shared" si="32"/>
        <v>0</v>
      </c>
      <c r="R149" s="29" t="str">
        <f t="shared" si="33"/>
        <v/>
      </c>
    </row>
    <row r="150" spans="1:18">
      <c r="A150" s="20"/>
      <c r="B150" s="20"/>
      <c r="C150" s="21"/>
      <c r="D150" s="22"/>
      <c r="E150" s="23"/>
      <c r="F150" s="24"/>
      <c r="G150" s="25" t="str">
        <f t="shared" si="28"/>
        <v/>
      </c>
      <c r="H150" s="26" t="str">
        <f t="shared" si="18"/>
        <v/>
      </c>
      <c r="I150" s="26">
        <f t="shared" si="29"/>
        <v>0</v>
      </c>
      <c r="J150" s="26">
        <f t="shared" si="19"/>
        <v>0</v>
      </c>
      <c r="K150" s="22"/>
      <c r="L150" s="27" t="str">
        <f t="shared" si="30"/>
        <v/>
      </c>
      <c r="M150" s="24"/>
      <c r="N150" s="26">
        <f t="shared" si="20"/>
        <v>0</v>
      </c>
      <c r="O150" s="26" t="str">
        <f t="shared" si="31"/>
        <v/>
      </c>
      <c r="P150" s="26" t="str">
        <f t="shared" si="21"/>
        <v/>
      </c>
      <c r="Q150" s="28">
        <f t="shared" si="32"/>
        <v>0</v>
      </c>
      <c r="R150" s="29" t="str">
        <f t="shared" si="33"/>
        <v/>
      </c>
    </row>
    <row r="151" spans="1:18">
      <c r="A151" s="20"/>
      <c r="B151" s="20"/>
      <c r="C151" s="21"/>
      <c r="D151" s="22"/>
      <c r="E151" s="23"/>
      <c r="F151" s="24"/>
      <c r="G151" s="25" t="str">
        <f t="shared" si="28"/>
        <v/>
      </c>
      <c r="H151" s="26" t="str">
        <f t="shared" si="18"/>
        <v/>
      </c>
      <c r="I151" s="26">
        <f t="shared" si="29"/>
        <v>0</v>
      </c>
      <c r="J151" s="26">
        <f t="shared" si="19"/>
        <v>0</v>
      </c>
      <c r="K151" s="22"/>
      <c r="L151" s="27" t="str">
        <f t="shared" si="30"/>
        <v/>
      </c>
      <c r="M151" s="24"/>
      <c r="N151" s="26">
        <f t="shared" si="20"/>
        <v>0</v>
      </c>
      <c r="O151" s="26" t="str">
        <f t="shared" si="31"/>
        <v/>
      </c>
      <c r="P151" s="26" t="str">
        <f t="shared" si="21"/>
        <v/>
      </c>
      <c r="Q151" s="28">
        <f t="shared" si="32"/>
        <v>0</v>
      </c>
      <c r="R151" s="29" t="str">
        <f t="shared" si="33"/>
        <v/>
      </c>
    </row>
    <row r="152" spans="1:18">
      <c r="A152" s="20"/>
      <c r="B152" s="20"/>
      <c r="C152" s="21"/>
      <c r="D152" s="22"/>
      <c r="E152" s="23"/>
      <c r="F152" s="24"/>
      <c r="G152" s="25" t="str">
        <f t="shared" si="28"/>
        <v/>
      </c>
      <c r="H152" s="26" t="str">
        <f t="shared" si="18"/>
        <v/>
      </c>
      <c r="I152" s="26">
        <f t="shared" si="29"/>
        <v>0</v>
      </c>
      <c r="J152" s="26">
        <f t="shared" si="19"/>
        <v>0</v>
      </c>
      <c r="K152" s="22"/>
      <c r="L152" s="27" t="str">
        <f t="shared" si="30"/>
        <v/>
      </c>
      <c r="M152" s="24"/>
      <c r="N152" s="26">
        <f t="shared" si="20"/>
        <v>0</v>
      </c>
      <c r="O152" s="26" t="str">
        <f t="shared" si="31"/>
        <v/>
      </c>
      <c r="P152" s="26" t="str">
        <f t="shared" si="21"/>
        <v/>
      </c>
      <c r="Q152" s="28">
        <f t="shared" si="32"/>
        <v>0</v>
      </c>
      <c r="R152" s="29" t="str">
        <f t="shared" si="33"/>
        <v/>
      </c>
    </row>
    <row r="153" spans="1:18">
      <c r="A153" s="20"/>
      <c r="B153" s="20"/>
      <c r="C153" s="21"/>
      <c r="D153" s="22"/>
      <c r="E153" s="23"/>
      <c r="F153" s="24"/>
      <c r="G153" s="25" t="str">
        <f t="shared" si="28"/>
        <v/>
      </c>
      <c r="H153" s="26" t="str">
        <f t="shared" si="18"/>
        <v/>
      </c>
      <c r="I153" s="26">
        <f t="shared" si="29"/>
        <v>0</v>
      </c>
      <c r="J153" s="26">
        <f t="shared" si="19"/>
        <v>0</v>
      </c>
      <c r="K153" s="22"/>
      <c r="L153" s="27" t="str">
        <f t="shared" si="30"/>
        <v/>
      </c>
      <c r="M153" s="24"/>
      <c r="N153" s="26">
        <f t="shared" si="20"/>
        <v>0</v>
      </c>
      <c r="O153" s="26" t="str">
        <f t="shared" si="31"/>
        <v/>
      </c>
      <c r="P153" s="26" t="str">
        <f t="shared" si="21"/>
        <v/>
      </c>
      <c r="Q153" s="28">
        <f t="shared" si="32"/>
        <v>0</v>
      </c>
      <c r="R153" s="29" t="str">
        <f t="shared" si="33"/>
        <v/>
      </c>
    </row>
    <row r="154" spans="1:18">
      <c r="A154" s="20"/>
      <c r="B154" s="20"/>
      <c r="C154" s="21"/>
      <c r="D154" s="22"/>
      <c r="E154" s="23"/>
      <c r="F154" s="24"/>
      <c r="G154" s="25" t="str">
        <f t="shared" si="28"/>
        <v/>
      </c>
      <c r="H154" s="26" t="str">
        <f t="shared" si="18"/>
        <v/>
      </c>
      <c r="I154" s="26">
        <f t="shared" si="29"/>
        <v>0</v>
      </c>
      <c r="J154" s="26">
        <f t="shared" si="19"/>
        <v>0</v>
      </c>
      <c r="K154" s="22"/>
      <c r="L154" s="27" t="str">
        <f t="shared" si="30"/>
        <v/>
      </c>
      <c r="M154" s="24"/>
      <c r="N154" s="26">
        <f t="shared" si="20"/>
        <v>0</v>
      </c>
      <c r="O154" s="26" t="str">
        <f t="shared" si="31"/>
        <v/>
      </c>
      <c r="P154" s="26" t="str">
        <f t="shared" si="21"/>
        <v/>
      </c>
      <c r="Q154" s="28">
        <f t="shared" si="32"/>
        <v>0</v>
      </c>
      <c r="R154" s="29" t="str">
        <f t="shared" si="33"/>
        <v/>
      </c>
    </row>
    <row r="155" spans="1:18">
      <c r="A155" s="20"/>
      <c r="B155" s="20"/>
      <c r="C155" s="21"/>
      <c r="D155" s="22"/>
      <c r="E155" s="23"/>
      <c r="F155" s="24"/>
      <c r="G155" s="25" t="str">
        <f t="shared" si="28"/>
        <v/>
      </c>
      <c r="H155" s="26" t="str">
        <f t="shared" si="18"/>
        <v/>
      </c>
      <c r="I155" s="26">
        <f t="shared" si="29"/>
        <v>0</v>
      </c>
      <c r="J155" s="26">
        <f t="shared" si="19"/>
        <v>0</v>
      </c>
      <c r="K155" s="22"/>
      <c r="L155" s="27" t="str">
        <f t="shared" si="30"/>
        <v/>
      </c>
      <c r="M155" s="24"/>
      <c r="N155" s="26">
        <f t="shared" si="20"/>
        <v>0</v>
      </c>
      <c r="O155" s="26" t="str">
        <f t="shared" si="31"/>
        <v/>
      </c>
      <c r="P155" s="26" t="str">
        <f t="shared" si="21"/>
        <v/>
      </c>
      <c r="Q155" s="28">
        <f t="shared" si="32"/>
        <v>0</v>
      </c>
      <c r="R155" s="29" t="str">
        <f t="shared" si="33"/>
        <v/>
      </c>
    </row>
    <row r="156" spans="1:18">
      <c r="A156" s="20"/>
      <c r="B156" s="20"/>
      <c r="C156" s="21"/>
      <c r="D156" s="22"/>
      <c r="E156" s="23"/>
      <c r="F156" s="24"/>
      <c r="G156" s="25" t="str">
        <f t="shared" si="28"/>
        <v/>
      </c>
      <c r="H156" s="26" t="str">
        <f t="shared" si="18"/>
        <v/>
      </c>
      <c r="I156" s="26">
        <f t="shared" si="29"/>
        <v>0</v>
      </c>
      <c r="J156" s="26">
        <f t="shared" si="19"/>
        <v>0</v>
      </c>
      <c r="K156" s="22"/>
      <c r="L156" s="27" t="str">
        <f t="shared" si="30"/>
        <v/>
      </c>
      <c r="M156" s="24"/>
      <c r="N156" s="26">
        <f t="shared" si="20"/>
        <v>0</v>
      </c>
      <c r="O156" s="26" t="str">
        <f t="shared" si="31"/>
        <v/>
      </c>
      <c r="P156" s="26" t="str">
        <f t="shared" si="21"/>
        <v/>
      </c>
      <c r="Q156" s="28">
        <f t="shared" si="32"/>
        <v>0</v>
      </c>
      <c r="R156" s="29" t="str">
        <f t="shared" si="33"/>
        <v/>
      </c>
    </row>
    <row r="157" spans="1:18">
      <c r="A157" s="20"/>
      <c r="B157" s="20"/>
      <c r="C157" s="21"/>
      <c r="D157" s="22"/>
      <c r="E157" s="23"/>
      <c r="F157" s="24"/>
      <c r="G157" s="25" t="str">
        <f t="shared" si="28"/>
        <v/>
      </c>
      <c r="H157" s="26" t="str">
        <f t="shared" si="18"/>
        <v/>
      </c>
      <c r="I157" s="26">
        <f t="shared" si="29"/>
        <v>0</v>
      </c>
      <c r="J157" s="26">
        <f t="shared" si="19"/>
        <v>0</v>
      </c>
      <c r="K157" s="22"/>
      <c r="L157" s="27" t="str">
        <f t="shared" si="30"/>
        <v/>
      </c>
      <c r="M157" s="24"/>
      <c r="N157" s="26">
        <f t="shared" si="20"/>
        <v>0</v>
      </c>
      <c r="O157" s="26" t="str">
        <f t="shared" si="31"/>
        <v/>
      </c>
      <c r="P157" s="26" t="str">
        <f t="shared" si="21"/>
        <v/>
      </c>
      <c r="Q157" s="28">
        <f t="shared" si="32"/>
        <v>0</v>
      </c>
      <c r="R157" s="29" t="str">
        <f t="shared" si="33"/>
        <v/>
      </c>
    </row>
    <row r="158" spans="1:18">
      <c r="A158" s="20"/>
      <c r="B158" s="20"/>
      <c r="C158" s="21"/>
      <c r="D158" s="22"/>
      <c r="E158" s="23"/>
      <c r="F158" s="24"/>
      <c r="G158" s="25" t="str">
        <f t="shared" si="28"/>
        <v/>
      </c>
      <c r="H158" s="26" t="str">
        <f t="shared" si="18"/>
        <v/>
      </c>
      <c r="I158" s="26">
        <f t="shared" si="29"/>
        <v>0</v>
      </c>
      <c r="J158" s="26">
        <f t="shared" si="19"/>
        <v>0</v>
      </c>
      <c r="K158" s="22"/>
      <c r="L158" s="27" t="str">
        <f t="shared" si="30"/>
        <v/>
      </c>
      <c r="M158" s="24"/>
      <c r="N158" s="26">
        <f t="shared" si="20"/>
        <v>0</v>
      </c>
      <c r="O158" s="26" t="str">
        <f t="shared" si="31"/>
        <v/>
      </c>
      <c r="P158" s="26" t="str">
        <f t="shared" si="21"/>
        <v/>
      </c>
      <c r="Q158" s="28">
        <f t="shared" si="32"/>
        <v>0</v>
      </c>
      <c r="R158" s="29" t="str">
        <f t="shared" si="33"/>
        <v/>
      </c>
    </row>
    <row r="159" spans="1:18">
      <c r="A159" s="20"/>
      <c r="B159" s="20"/>
      <c r="C159" s="21"/>
      <c r="D159" s="22"/>
      <c r="E159" s="23"/>
      <c r="F159" s="24"/>
      <c r="G159" s="25" t="str">
        <f t="shared" si="28"/>
        <v/>
      </c>
      <c r="H159" s="26" t="str">
        <f t="shared" si="18"/>
        <v/>
      </c>
      <c r="I159" s="26">
        <f t="shared" si="29"/>
        <v>0</v>
      </c>
      <c r="J159" s="26">
        <f t="shared" si="19"/>
        <v>0</v>
      </c>
      <c r="K159" s="22"/>
      <c r="L159" s="27" t="str">
        <f t="shared" si="30"/>
        <v/>
      </c>
      <c r="M159" s="24"/>
      <c r="N159" s="26">
        <f t="shared" si="20"/>
        <v>0</v>
      </c>
      <c r="O159" s="26" t="str">
        <f t="shared" si="31"/>
        <v/>
      </c>
      <c r="P159" s="26" t="str">
        <f t="shared" si="21"/>
        <v/>
      </c>
      <c r="Q159" s="28">
        <f t="shared" si="32"/>
        <v>0</v>
      </c>
      <c r="R159" s="29" t="str">
        <f t="shared" si="33"/>
        <v/>
      </c>
    </row>
    <row r="160" spans="1:18">
      <c r="A160" s="20"/>
      <c r="B160" s="20"/>
      <c r="C160" s="21"/>
      <c r="D160" s="22"/>
      <c r="E160" s="23"/>
      <c r="F160" s="24"/>
      <c r="G160" s="25" t="str">
        <f t="shared" si="28"/>
        <v/>
      </c>
      <c r="H160" s="26" t="str">
        <f t="shared" si="18"/>
        <v/>
      </c>
      <c r="I160" s="26">
        <f t="shared" si="29"/>
        <v>0</v>
      </c>
      <c r="J160" s="26">
        <f t="shared" si="19"/>
        <v>0</v>
      </c>
      <c r="K160" s="22"/>
      <c r="L160" s="27" t="str">
        <f t="shared" si="30"/>
        <v/>
      </c>
      <c r="M160" s="24"/>
      <c r="N160" s="26">
        <f t="shared" si="20"/>
        <v>0</v>
      </c>
      <c r="O160" s="26" t="str">
        <f t="shared" si="31"/>
        <v/>
      </c>
      <c r="P160" s="26" t="str">
        <f t="shared" si="21"/>
        <v/>
      </c>
      <c r="Q160" s="28">
        <f t="shared" si="32"/>
        <v>0</v>
      </c>
      <c r="R160" s="29" t="str">
        <f t="shared" si="33"/>
        <v/>
      </c>
    </row>
    <row r="161" spans="1:18">
      <c r="A161" s="20"/>
      <c r="B161" s="20"/>
      <c r="C161" s="21"/>
      <c r="D161" s="22"/>
      <c r="E161" s="23"/>
      <c r="F161" s="24"/>
      <c r="G161" s="25" t="str">
        <f t="shared" si="28"/>
        <v/>
      </c>
      <c r="H161" s="26" t="str">
        <f t="shared" si="18"/>
        <v/>
      </c>
      <c r="I161" s="26">
        <f t="shared" si="29"/>
        <v>0</v>
      </c>
      <c r="J161" s="26">
        <f t="shared" si="19"/>
        <v>0</v>
      </c>
      <c r="K161" s="22"/>
      <c r="L161" s="27" t="str">
        <f t="shared" si="30"/>
        <v/>
      </c>
      <c r="M161" s="24"/>
      <c r="N161" s="26">
        <f t="shared" si="20"/>
        <v>0</v>
      </c>
      <c r="O161" s="26" t="str">
        <f t="shared" si="31"/>
        <v/>
      </c>
      <c r="P161" s="26" t="str">
        <f t="shared" si="21"/>
        <v/>
      </c>
      <c r="Q161" s="28">
        <f t="shared" si="32"/>
        <v>0</v>
      </c>
      <c r="R161" s="29" t="str">
        <f t="shared" si="33"/>
        <v/>
      </c>
    </row>
    <row r="162" spans="1:18">
      <c r="A162" s="20"/>
      <c r="B162" s="20"/>
      <c r="C162" s="21"/>
      <c r="D162" s="22"/>
      <c r="E162" s="23"/>
      <c r="F162" s="24"/>
      <c r="G162" s="25" t="str">
        <f t="shared" si="28"/>
        <v/>
      </c>
      <c r="H162" s="26" t="str">
        <f t="shared" si="18"/>
        <v/>
      </c>
      <c r="I162" s="26">
        <f t="shared" si="29"/>
        <v>0</v>
      </c>
      <c r="J162" s="26">
        <f t="shared" si="19"/>
        <v>0</v>
      </c>
      <c r="K162" s="22"/>
      <c r="L162" s="27" t="str">
        <f t="shared" si="30"/>
        <v/>
      </c>
      <c r="M162" s="24"/>
      <c r="N162" s="26">
        <f t="shared" si="20"/>
        <v>0</v>
      </c>
      <c r="O162" s="26" t="str">
        <f t="shared" si="31"/>
        <v/>
      </c>
      <c r="P162" s="26" t="str">
        <f t="shared" si="21"/>
        <v/>
      </c>
      <c r="Q162" s="28">
        <f t="shared" si="32"/>
        <v>0</v>
      </c>
      <c r="R162" s="29" t="str">
        <f t="shared" si="33"/>
        <v/>
      </c>
    </row>
    <row r="163" spans="1:18">
      <c r="A163" s="20"/>
      <c r="B163" s="20"/>
      <c r="C163" s="21"/>
      <c r="D163" s="22"/>
      <c r="E163" s="23"/>
      <c r="F163" s="24"/>
      <c r="G163" s="25" t="str">
        <f t="shared" si="28"/>
        <v/>
      </c>
      <c r="H163" s="26" t="str">
        <f t="shared" si="18"/>
        <v/>
      </c>
      <c r="I163" s="26">
        <f t="shared" si="29"/>
        <v>0</v>
      </c>
      <c r="J163" s="26">
        <f t="shared" si="19"/>
        <v>0</v>
      </c>
      <c r="K163" s="22"/>
      <c r="L163" s="27" t="str">
        <f t="shared" si="30"/>
        <v/>
      </c>
      <c r="M163" s="24"/>
      <c r="N163" s="26">
        <f t="shared" si="20"/>
        <v>0</v>
      </c>
      <c r="O163" s="26" t="str">
        <f t="shared" si="31"/>
        <v/>
      </c>
      <c r="P163" s="26" t="str">
        <f t="shared" si="21"/>
        <v/>
      </c>
      <c r="Q163" s="28">
        <f t="shared" si="32"/>
        <v>0</v>
      </c>
      <c r="R163" s="29" t="str">
        <f t="shared" si="33"/>
        <v/>
      </c>
    </row>
    <row r="164" spans="1:18">
      <c r="A164" s="20"/>
      <c r="B164" s="20"/>
      <c r="C164" s="21"/>
      <c r="D164" s="22"/>
      <c r="E164" s="23"/>
      <c r="F164" s="24"/>
      <c r="G164" s="25" t="str">
        <f t="shared" si="28"/>
        <v/>
      </c>
      <c r="H164" s="26" t="str">
        <f t="shared" si="18"/>
        <v/>
      </c>
      <c r="I164" s="26">
        <f t="shared" si="29"/>
        <v>0</v>
      </c>
      <c r="J164" s="26">
        <f t="shared" si="19"/>
        <v>0</v>
      </c>
      <c r="K164" s="22"/>
      <c r="L164" s="27" t="str">
        <f t="shared" si="30"/>
        <v/>
      </c>
      <c r="M164" s="24"/>
      <c r="N164" s="26">
        <f t="shared" si="20"/>
        <v>0</v>
      </c>
      <c r="O164" s="26" t="str">
        <f t="shared" si="31"/>
        <v/>
      </c>
      <c r="P164" s="26" t="str">
        <f t="shared" si="21"/>
        <v/>
      </c>
      <c r="Q164" s="28">
        <f t="shared" si="32"/>
        <v>0</v>
      </c>
      <c r="R164" s="29" t="str">
        <f t="shared" si="33"/>
        <v/>
      </c>
    </row>
    <row r="165" spans="1:18">
      <c r="A165" s="20"/>
      <c r="B165" s="20"/>
      <c r="C165" s="21"/>
      <c r="D165" s="22"/>
      <c r="E165" s="23"/>
      <c r="F165" s="24"/>
      <c r="G165" s="25" t="str">
        <f t="shared" si="28"/>
        <v/>
      </c>
      <c r="H165" s="26" t="str">
        <f t="shared" si="18"/>
        <v/>
      </c>
      <c r="I165" s="26">
        <f t="shared" si="29"/>
        <v>0</v>
      </c>
      <c r="J165" s="26">
        <f t="shared" si="19"/>
        <v>0</v>
      </c>
      <c r="K165" s="22"/>
      <c r="L165" s="27" t="str">
        <f t="shared" si="30"/>
        <v/>
      </c>
      <c r="M165" s="24"/>
      <c r="N165" s="26">
        <f t="shared" si="20"/>
        <v>0</v>
      </c>
      <c r="O165" s="26" t="str">
        <f t="shared" si="31"/>
        <v/>
      </c>
      <c r="P165" s="26" t="str">
        <f t="shared" si="21"/>
        <v/>
      </c>
      <c r="Q165" s="28">
        <f t="shared" si="32"/>
        <v>0</v>
      </c>
      <c r="R165" s="29" t="str">
        <f t="shared" si="33"/>
        <v/>
      </c>
    </row>
    <row r="166" spans="1:18">
      <c r="A166" s="20"/>
      <c r="B166" s="20"/>
      <c r="C166" s="21"/>
      <c r="D166" s="22"/>
      <c r="E166" s="23"/>
      <c r="F166" s="24"/>
      <c r="G166" s="25" t="str">
        <f t="shared" si="28"/>
        <v/>
      </c>
      <c r="H166" s="26" t="str">
        <f t="shared" si="18"/>
        <v/>
      </c>
      <c r="I166" s="26">
        <f t="shared" si="29"/>
        <v>0</v>
      </c>
      <c r="J166" s="26">
        <f t="shared" si="19"/>
        <v>0</v>
      </c>
      <c r="K166" s="22"/>
      <c r="L166" s="27" t="str">
        <f t="shared" si="30"/>
        <v/>
      </c>
      <c r="M166" s="24"/>
      <c r="N166" s="26">
        <f t="shared" si="20"/>
        <v>0</v>
      </c>
      <c r="O166" s="26" t="str">
        <f t="shared" si="31"/>
        <v/>
      </c>
      <c r="P166" s="26" t="str">
        <f t="shared" si="21"/>
        <v/>
      </c>
      <c r="Q166" s="28">
        <f t="shared" si="32"/>
        <v>0</v>
      </c>
      <c r="R166" s="29" t="str">
        <f t="shared" si="33"/>
        <v/>
      </c>
    </row>
    <row r="167" spans="1:18">
      <c r="A167" s="20"/>
      <c r="B167" s="20"/>
      <c r="C167" s="21"/>
      <c r="D167" s="22"/>
      <c r="E167" s="23"/>
      <c r="F167" s="24"/>
      <c r="G167" s="25" t="str">
        <f t="shared" si="28"/>
        <v/>
      </c>
      <c r="H167" s="26" t="str">
        <f t="shared" si="18"/>
        <v/>
      </c>
      <c r="I167" s="26">
        <f t="shared" si="29"/>
        <v>0</v>
      </c>
      <c r="J167" s="26">
        <f t="shared" si="19"/>
        <v>0</v>
      </c>
      <c r="K167" s="22"/>
      <c r="L167" s="27" t="str">
        <f t="shared" si="30"/>
        <v/>
      </c>
      <c r="M167" s="24"/>
      <c r="N167" s="26">
        <f t="shared" si="20"/>
        <v>0</v>
      </c>
      <c r="O167" s="26" t="str">
        <f t="shared" si="31"/>
        <v/>
      </c>
      <c r="P167" s="26" t="str">
        <f t="shared" si="21"/>
        <v/>
      </c>
      <c r="Q167" s="28">
        <f t="shared" si="32"/>
        <v>0</v>
      </c>
      <c r="R167" s="29" t="str">
        <f t="shared" si="33"/>
        <v/>
      </c>
    </row>
    <row r="168" spans="1:18">
      <c r="A168" s="20"/>
      <c r="B168" s="20"/>
      <c r="C168" s="21"/>
      <c r="D168" s="22"/>
      <c r="E168" s="23"/>
      <c r="F168" s="24"/>
      <c r="G168" s="25" t="str">
        <f t="shared" si="22"/>
        <v/>
      </c>
      <c r="H168" s="26" t="str">
        <f t="shared" si="18"/>
        <v/>
      </c>
      <c r="I168" s="26">
        <f t="shared" si="23"/>
        <v>0</v>
      </c>
      <c r="J168" s="26">
        <f t="shared" si="19"/>
        <v>0</v>
      </c>
      <c r="K168" s="22"/>
      <c r="L168" s="27" t="str">
        <f t="shared" si="24"/>
        <v/>
      </c>
      <c r="M168" s="24"/>
      <c r="N168" s="26">
        <f t="shared" si="20"/>
        <v>0</v>
      </c>
      <c r="O168" s="26" t="str">
        <f t="shared" si="25"/>
        <v/>
      </c>
      <c r="P168" s="26" t="str">
        <f t="shared" si="21"/>
        <v/>
      </c>
      <c r="Q168" s="28">
        <f t="shared" si="26"/>
        <v>0</v>
      </c>
      <c r="R168" s="29" t="str">
        <f t="shared" si="27"/>
        <v/>
      </c>
    </row>
    <row r="169" spans="1:18">
      <c r="A169" s="20"/>
      <c r="B169" s="20"/>
      <c r="C169" s="21"/>
      <c r="D169" s="22"/>
      <c r="E169" s="23"/>
      <c r="F169" s="24"/>
      <c r="G169" s="25" t="str">
        <f t="shared" si="22"/>
        <v/>
      </c>
      <c r="H169" s="26" t="str">
        <f t="shared" si="18"/>
        <v/>
      </c>
      <c r="I169" s="26">
        <f t="shared" si="23"/>
        <v>0</v>
      </c>
      <c r="J169" s="26">
        <f t="shared" si="19"/>
        <v>0</v>
      </c>
      <c r="K169" s="22"/>
      <c r="L169" s="27" t="str">
        <f t="shared" si="24"/>
        <v/>
      </c>
      <c r="M169" s="24"/>
      <c r="N169" s="26">
        <f t="shared" si="20"/>
        <v>0</v>
      </c>
      <c r="O169" s="26" t="str">
        <f t="shared" si="25"/>
        <v/>
      </c>
      <c r="P169" s="26" t="str">
        <f t="shared" si="21"/>
        <v/>
      </c>
      <c r="Q169" s="28">
        <f t="shared" si="26"/>
        <v>0</v>
      </c>
      <c r="R169" s="29" t="str">
        <f t="shared" si="27"/>
        <v/>
      </c>
    </row>
    <row r="170" spans="1:18">
      <c r="A170" s="20"/>
      <c r="B170" s="20"/>
      <c r="C170" s="21"/>
      <c r="D170" s="22"/>
      <c r="E170" s="23"/>
      <c r="F170" s="24"/>
      <c r="G170" s="25" t="str">
        <f t="shared" si="22"/>
        <v/>
      </c>
      <c r="H170" s="26" t="str">
        <f t="shared" si="18"/>
        <v/>
      </c>
      <c r="I170" s="26">
        <f t="shared" si="23"/>
        <v>0</v>
      </c>
      <c r="J170" s="26">
        <f t="shared" si="19"/>
        <v>0</v>
      </c>
      <c r="K170" s="22"/>
      <c r="L170" s="27" t="str">
        <f t="shared" si="24"/>
        <v/>
      </c>
      <c r="M170" s="24"/>
      <c r="N170" s="26">
        <f t="shared" si="20"/>
        <v>0</v>
      </c>
      <c r="O170" s="26" t="str">
        <f t="shared" si="25"/>
        <v/>
      </c>
      <c r="P170" s="26" t="str">
        <f t="shared" si="21"/>
        <v/>
      </c>
      <c r="Q170" s="28">
        <f t="shared" si="26"/>
        <v>0</v>
      </c>
      <c r="R170" s="29" t="str">
        <f t="shared" si="27"/>
        <v/>
      </c>
    </row>
    <row r="171" spans="1:18">
      <c r="A171" s="20"/>
      <c r="B171" s="20"/>
      <c r="C171" s="21"/>
      <c r="D171" s="22"/>
      <c r="E171" s="23"/>
      <c r="F171" s="24"/>
      <c r="G171" s="25" t="str">
        <f t="shared" si="22"/>
        <v/>
      </c>
      <c r="H171" s="26" t="str">
        <f t="shared" si="18"/>
        <v/>
      </c>
      <c r="I171" s="26">
        <f t="shared" si="23"/>
        <v>0</v>
      </c>
      <c r="J171" s="26">
        <f t="shared" si="19"/>
        <v>0</v>
      </c>
      <c r="K171" s="22"/>
      <c r="L171" s="27" t="str">
        <f t="shared" si="24"/>
        <v/>
      </c>
      <c r="M171" s="24"/>
      <c r="N171" s="26">
        <f t="shared" si="20"/>
        <v>0</v>
      </c>
      <c r="O171" s="26" t="str">
        <f t="shared" si="25"/>
        <v/>
      </c>
      <c r="P171" s="26" t="str">
        <f t="shared" si="21"/>
        <v/>
      </c>
      <c r="Q171" s="28">
        <f t="shared" si="26"/>
        <v>0</v>
      </c>
      <c r="R171" s="29" t="str">
        <f t="shared" si="27"/>
        <v/>
      </c>
    </row>
    <row r="172" spans="1:18">
      <c r="A172" s="20"/>
      <c r="B172" s="20"/>
      <c r="C172" s="21"/>
      <c r="D172" s="22"/>
      <c r="E172" s="23"/>
      <c r="F172" s="24"/>
      <c r="G172" s="25" t="str">
        <f t="shared" si="22"/>
        <v/>
      </c>
      <c r="H172" s="26" t="str">
        <f>IF(F172="","",IF(OR($C172="USDC",$C172="USDT"),F172*$R$34,F172))</f>
        <v/>
      </c>
      <c r="I172" s="26">
        <f t="shared" si="23"/>
        <v>0</v>
      </c>
      <c r="J172" s="26">
        <f>IF(OR($C172="USDC",$C172="USDT"),I172*$R$34,I172)</f>
        <v>0</v>
      </c>
      <c r="K172" s="22"/>
      <c r="L172" s="27" t="str">
        <f t="shared" si="24"/>
        <v/>
      </c>
      <c r="M172" s="24"/>
      <c r="N172" s="26">
        <f>IF(OR($C172="USDC",$C172="USDT"),M172*$R$34,M172)</f>
        <v>0</v>
      </c>
      <c r="O172" s="26" t="str">
        <f t="shared" si="25"/>
        <v/>
      </c>
      <c r="P172" s="26" t="str">
        <f>IF(O172="","",IF(OR($C172="USDC",$C172="USDT"),O172*$R$34,O172))</f>
        <v/>
      </c>
      <c r="Q172" s="28">
        <f t="shared" si="26"/>
        <v>0</v>
      </c>
      <c r="R172" s="29" t="str">
        <f t="shared" si="27"/>
        <v/>
      </c>
    </row>
    <row r="173" spans="1:18">
      <c r="A173" s="20"/>
      <c r="B173" s="20"/>
      <c r="C173" s="21"/>
      <c r="D173" s="22"/>
      <c r="E173" s="23"/>
      <c r="F173" s="24"/>
      <c r="G173" s="25" t="str">
        <f t="shared" si="22"/>
        <v/>
      </c>
      <c r="H173" s="26" t="str">
        <f>IF(F173="","",IF(OR($C173="USDC",$C173="USDT"),F173*$R$34,F173))</f>
        <v/>
      </c>
      <c r="I173" s="26">
        <f t="shared" si="23"/>
        <v>0</v>
      </c>
      <c r="J173" s="26">
        <f>IF(OR($C173="USDC",$C173="USDT"),I173*$R$34,I173)</f>
        <v>0</v>
      </c>
      <c r="K173" s="22"/>
      <c r="L173" s="27" t="str">
        <f t="shared" si="24"/>
        <v/>
      </c>
      <c r="M173" s="24"/>
      <c r="N173" s="26">
        <f>IF(OR($C173="USDC",$C173="USDT"),M173*$R$34,M173)</f>
        <v>0</v>
      </c>
      <c r="O173" s="26" t="str">
        <f t="shared" si="25"/>
        <v/>
      </c>
      <c r="P173" s="26" t="str">
        <f>IF(O173="","",IF(OR($C173="USDC",$C173="USDT"),O173*$R$34,O173))</f>
        <v/>
      </c>
      <c r="Q173" s="28">
        <f t="shared" si="26"/>
        <v>0</v>
      </c>
      <c r="R173" s="29" t="str">
        <f t="shared" si="27"/>
        <v/>
      </c>
    </row>
    <row r="174" spans="1:18">
      <c r="Q174" s="30"/>
    </row>
    <row r="175" spans="1:18">
      <c r="M175" s="31"/>
    </row>
    <row r="176" spans="1:18">
      <c r="D176"/>
      <c r="E176"/>
      <c r="F176"/>
    </row>
    <row r="177" spans="4:6">
      <c r="D177"/>
      <c r="E177"/>
      <c r="F177"/>
    </row>
    <row r="178" spans="4:6">
      <c r="D178"/>
      <c r="E178"/>
      <c r="F178"/>
    </row>
  </sheetData>
  <autoFilter xmlns:etc="http://www.wps.cn/officeDocument/2017/etCustomData" ref="A42:W173" etc:filterBottomFollowUsedRange="0">
    <extLst/>
  </autoFilter>
  <conditionalFormatting sqref="B72:D72">
    <cfRule type="expression" dxfId="0" priority="22">
      <formula>$A72="Ordem Comprar"</formula>
    </cfRule>
    <cfRule type="expression" dxfId="1" priority="23">
      <formula>$A72="Concluído"</formula>
    </cfRule>
    <cfRule type="expression" dxfId="2" priority="24">
      <formula>$A72="Ativo"</formula>
    </cfRule>
  </conditionalFormatting>
  <conditionalFormatting sqref="B72:P72">
    <cfRule type="expression" dxfId="3" priority="21">
      <formula>$A72="Ordem Vender"</formula>
    </cfRule>
  </conditionalFormatting>
  <conditionalFormatting sqref="B79:C79">
    <cfRule type="expression" dxfId="3" priority="9">
      <formula>$A79="Ordem Vender"</formula>
    </cfRule>
    <cfRule type="expression" dxfId="0" priority="10">
      <formula>$A79="Ordem Comprar"</formula>
    </cfRule>
    <cfRule type="expression" dxfId="1" priority="11">
      <formula>$A79="Concluído"</formula>
    </cfRule>
    <cfRule type="expression" dxfId="2" priority="12">
      <formula>$A79="Ativo"</formula>
    </cfRule>
  </conditionalFormatting>
  <conditionalFormatting sqref="B80:C80">
    <cfRule type="expression" dxfId="3" priority="13">
      <formula>$A80="Ordem Vender"</formula>
    </cfRule>
    <cfRule type="expression" dxfId="0" priority="14">
      <formula>$A80="Ordem Comprar"</formula>
    </cfRule>
    <cfRule type="expression" dxfId="1" priority="15">
      <formula>$A80="Concluído"</formula>
    </cfRule>
    <cfRule type="expression" dxfId="2" priority="16">
      <formula>$A80="Ativo"</formula>
    </cfRule>
  </conditionalFormatting>
  <conditionalFormatting sqref="B84:C84">
    <cfRule type="expression" dxfId="3" priority="1">
      <formula>$A84="Ordem Vender"</formula>
    </cfRule>
    <cfRule type="expression" dxfId="0" priority="2">
      <formula>$A84="Ordem Comprar"</formula>
    </cfRule>
    <cfRule type="expression" dxfId="1" priority="3">
      <formula>$A84="Concluído"</formula>
    </cfRule>
    <cfRule type="expression" dxfId="2" priority="4">
      <formula>$A84="Ativo"</formula>
    </cfRule>
  </conditionalFormatting>
  <conditionalFormatting sqref="D84:E84">
    <cfRule type="expression" dxfId="3" priority="5">
      <formula>$A84="Ordem Vender"</formula>
    </cfRule>
    <cfRule type="expression" dxfId="0" priority="6">
      <formula>$A84="Ordem Comprar"</formula>
    </cfRule>
    <cfRule type="expression" dxfId="1" priority="7">
      <formula>$A84="Concluído"</formula>
    </cfRule>
    <cfRule type="expression" dxfId="2" priority="8">
      <formula>$A84="Ativo"</formula>
    </cfRule>
  </conditionalFormatting>
  <conditionalFormatting sqref="Q44:Q173">
    <cfRule type="cellIs" dxfId="4" priority="29" operator="lessThan">
      <formula>0</formula>
    </cfRule>
    <cfRule type="cellIs" dxfId="5" priority="30" operator="greaterThan">
      <formula>0</formula>
    </cfRule>
  </conditionalFormatting>
  <conditionalFormatting sqref="R39:R40">
    <cfRule type="cellIs" dxfId="5" priority="35" operator="greaterThan">
      <formula>0</formula>
    </cfRule>
    <cfRule type="cellIs" dxfId="4" priority="36" operator="lessThan">
      <formula>0</formula>
    </cfRule>
  </conditionalFormatting>
  <conditionalFormatting sqref="A44:P173">
    <cfRule type="expression" dxfId="3" priority="25">
      <formula>$A44="Ordem Vender"</formula>
    </cfRule>
    <cfRule type="expression" dxfId="6" priority="26">
      <formula>$A44="Ordem Comprar"</formula>
    </cfRule>
    <cfRule type="expression" dxfId="7" priority="27">
      <formula>$A44="Concluído"</formula>
    </cfRule>
    <cfRule type="expression" dxfId="2" priority="28">
      <formula>$A44="Ativo"</formula>
    </cfRule>
  </conditionalFormatting>
  <conditionalFormatting sqref="A75:C75;B73:C74;D73:P75;A76:P78;A67:P67;A68:A74;A79;B66:P66;B62:P62">
    <cfRule type="expression" dxfId="3" priority="17">
      <formula>$A62="Ordem Vender"</formula>
    </cfRule>
    <cfRule type="expression" dxfId="0" priority="18">
      <formula>$A62="Ordem Comprar"</formula>
    </cfRule>
    <cfRule type="expression" dxfId="1" priority="19">
      <formula>$A62="Concluído"</formula>
    </cfRule>
    <cfRule type="expression" dxfId="2" priority="20">
      <formula>$A62="Ativo"</formula>
    </cfRule>
  </conditionalFormatting>
  <conditionalFormatting sqref="A81:P83;A79:A80;D79:P80;A84;F84:P84;A85:P173">
    <cfRule type="expression" dxfId="3" priority="31">
      <formula>$A79="Ordem Vender"</formula>
    </cfRule>
    <cfRule type="expression" dxfId="0" priority="32">
      <formula>$A79="Ordem Comprar"</formula>
    </cfRule>
    <cfRule type="expression" dxfId="1" priority="33">
      <formula>$A79="Concluído"</formula>
    </cfRule>
    <cfRule type="expression" dxfId="2" priority="34">
      <formula>$A79="Ativo"</formula>
    </cfRule>
  </conditionalFormatting>
  <dataValidations count="2">
    <dataValidation type="list" allowBlank="1" showInputMessage="1" showErrorMessage="1" sqref="A44:A173">
      <formula1>"Ativo,Concluído,Ordem Comprar,Ordem Vender"</formula1>
    </dataValidation>
    <dataValidation type="list" allowBlank="1" showInputMessage="1" showErrorMessage="1" sqref="C44:C173">
      <formula1>"BRL,USDC,USDT"</formula1>
    </dataValidation>
  </dataValidations>
  <pageMargins left="0.511811024" right="0.511811024" top="0.787401575" bottom="0.787401575" header="0.31496062" footer="0.31496062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CRIPTOMOEDAS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</dc:creator>
  <cp:lastModifiedBy>Aline</cp:lastModifiedBy>
  <dcterms:created xsi:type="dcterms:W3CDTF">2025-11-13T17:33:00Z</dcterms:created>
  <dcterms:modified xsi:type="dcterms:W3CDTF">2026-10-15T21:04:59Z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A0DAAA5F05C043B49217265D614F2182_12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